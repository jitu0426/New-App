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maa00\product catalogue\product catalogue app v2\.claude\worktrees\youthful-dhawan\"/>
    </mc:Choice>
  </mc:AlternateContent>
  <xr:revisionPtr revIDLastSave="0" documentId="13_ncr:1_{07A66A73-6461-4CA2-ADAA-43D948FE5577}" xr6:coauthVersionLast="47" xr6:coauthVersionMax="47" xr10:uidLastSave="{00000000-0000-0000-0000-000000000000}"/>
  <bookViews>
    <workbookView xWindow="-110" yWindow="-110" windowWidth="19420" windowHeight="11500" xr2:uid="{00000000-000D-0000-FFFF-FFFF00000000}"/>
  </bookViews>
  <sheets>
    <sheet name="Sheet1" sheetId="1" r:id="rId1"/>
  </sheets>
  <definedNames>
    <definedName name="_xlnm._FilterDatabase" localSheetId="0" hidden="1">Sheet1!$A$1:$J$102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 l="1"/>
  <c r="G8" i="1"/>
  <c r="J74" i="1"/>
  <c r="J73" i="1"/>
  <c r="J69" i="1"/>
  <c r="J67" i="1"/>
  <c r="J65" i="1"/>
  <c r="J48" i="1"/>
  <c r="J47" i="1"/>
  <c r="J35" i="1"/>
  <c r="J34" i="1"/>
  <c r="J26" i="1"/>
  <c r="J24" i="1"/>
  <c r="J19" i="1"/>
  <c r="J18" i="1"/>
</calcChain>
</file>

<file path=xl/sharedStrings.xml><?xml version="1.0" encoding="utf-8"?>
<sst xmlns="http://schemas.openxmlformats.org/spreadsheetml/2006/main" count="446" uniqueCount="268">
  <si>
    <t>Description</t>
  </si>
  <si>
    <t>Packing per Master Ctn in doz/ box</t>
  </si>
  <si>
    <t>Gross Wt. Kg</t>
  </si>
  <si>
    <t>Net Wt. Kg</t>
  </si>
  <si>
    <t>Length Cm</t>
  </si>
  <si>
    <t>Breadth Cm</t>
  </si>
  <si>
    <t>Height Cm</t>
  </si>
  <si>
    <t>CBM</t>
  </si>
  <si>
    <t>HEXA</t>
  </si>
  <si>
    <t>20 Sticks in a packet, 6 packet in a box,                                        2 boxes make 1 Dozen, 25 dozen in 1 master carton</t>
  </si>
  <si>
    <t>25 Doz</t>
  </si>
  <si>
    <t>TALL HEXA</t>
  </si>
  <si>
    <t>10 Sticks in a packet, 6 packets in a box, 2 boxes make 1 Dozen</t>
  </si>
  <si>
    <t>12 doz</t>
  </si>
  <si>
    <t>15 Sticks in a packet, 6 packet in a box,  2 boxes make 1 Dozen</t>
  </si>
  <si>
    <t>MASALA 15 GMS</t>
  </si>
  <si>
    <t>15 Grams in a packet,  12 Packs (1 dozen) in a box, 288 Packs (24 dozen) in a master carton</t>
  </si>
  <si>
    <t>24 Doz</t>
  </si>
  <si>
    <t>0.060</t>
  </si>
  <si>
    <t>15 Grams in a packet, 12 Packs (1 dozen) in a box, 288 Packs (24 dozen) in a master carton</t>
  </si>
  <si>
    <t>UNIVERSAL MASALA GIFT PACK</t>
  </si>
  <si>
    <t>15 gm in a packet, 6 assorated packets in one gift set, 48 gift set in one master carton.</t>
  </si>
  <si>
    <t>48 Pcs</t>
  </si>
  <si>
    <t xml:space="preserve">NATURE MASALA GIFT PACK </t>
  </si>
  <si>
    <t>5 Hexa Packet in an outer packet</t>
  </si>
  <si>
    <t>56 pcs</t>
  </si>
  <si>
    <t>54.000</t>
  </si>
  <si>
    <t>33.500</t>
  </si>
  <si>
    <t>48.000</t>
  </si>
  <si>
    <t>0.087</t>
  </si>
  <si>
    <t>6 Packet in an outer packet</t>
  </si>
  <si>
    <t>48 pcs</t>
  </si>
  <si>
    <t>3 Packet in an outer packet</t>
  </si>
  <si>
    <t>7 CHAKRA HEXA GIFT PACK</t>
  </si>
  <si>
    <t>7 Packet in an outer packet</t>
  </si>
  <si>
    <t>WHITE SAGE CLEANSING COLLECTION GIFT PACK</t>
  </si>
  <si>
    <t>6 assorated packets in one gift box, such 48 boxes packed inside master carton.</t>
  </si>
  <si>
    <t>48 sets</t>
  </si>
  <si>
    <t>YOG CHAKRA GIFT PACK</t>
  </si>
  <si>
    <t>Gift Pack Contain single pc of Yog Chakra 100ml room freshener, 
15gm Masala incense stick,
 Yog Chakra cone &amp;
 Wooden incense holder</t>
  </si>
  <si>
    <t>3 Doz</t>
  </si>
  <si>
    <t>SQUARE</t>
  </si>
  <si>
    <t>8 Sticks in a packet,25 packet in a box</t>
  </si>
  <si>
    <t>50 Box</t>
  </si>
  <si>
    <t>SQUARE FLORA</t>
  </si>
  <si>
    <t>8 sticks in a packet,  25 packets in a box,  36 boxes in a master carton.</t>
  </si>
  <si>
    <t>36 Box</t>
  </si>
  <si>
    <t>SQUARE GIFT PACK</t>
  </si>
  <si>
    <t>6 Square packets in a Gift Pack</t>
  </si>
  <si>
    <t>120 pcs</t>
  </si>
  <si>
    <t>CONE</t>
  </si>
  <si>
    <t>10 Cones in a packet,12 Packets in box</t>
  </si>
  <si>
    <t>30 Doz</t>
  </si>
  <si>
    <t>4 Dozen in a box,6 box in Master Carton</t>
  </si>
  <si>
    <t>6 box</t>
  </si>
  <si>
    <t>MASALA CONES</t>
  </si>
  <si>
    <t>BACK FLOW CONES</t>
  </si>
  <si>
    <t>40 cones in one Pack 12 Packet in one box 6 Box in one master Carton</t>
  </si>
  <si>
    <t>6 Doz</t>
  </si>
  <si>
    <t>7 CHAKRA JUMBO BACK FLOW CONE</t>
  </si>
  <si>
    <t>20 Jumbo Cones in one Pack, 12 Packet in one box, 6 Box in one master Carton</t>
  </si>
  <si>
    <t>1 pack contain 1pcs of holder &amp; 10 pcs of cones.
12 pcs in 1 Master Carton</t>
  </si>
  <si>
    <t>1 doz</t>
  </si>
  <si>
    <t>7 Diffrenet types of Stones in one pack.
12 packs in 1 Outer Carton
6 Outer Cartons in one Master Carton</t>
  </si>
  <si>
    <t>6 doz</t>
  </si>
  <si>
    <t>7 SERIES POUCH</t>
  </si>
  <si>
    <t>5 Stick in a pouch,7 pouch in inner box,12 inner box in a outer box</t>
  </si>
  <si>
    <t>12 Doz</t>
  </si>
  <si>
    <t>POP TALL 25 GMS</t>
  </si>
  <si>
    <t>25 gm in a packet, 12 packets in 1 dozen                                 24 dozen in master carton</t>
  </si>
  <si>
    <t>TALL ECONOMY 100 GMS</t>
  </si>
  <si>
    <t>100 GMS in a packet, 6 packets in a box</t>
  </si>
  <si>
    <t>ECONOMY 100 STICK</t>
  </si>
  <si>
    <t>100 stick in a packet,12 packets in a box(1 dozen)</t>
  </si>
  <si>
    <t>100 GM MASALA PACK</t>
  </si>
  <si>
    <t xml:space="preserve">100 gm in a packet, 12 packet in 1 dozen,        24 dozen in 1 master carton </t>
  </si>
  <si>
    <t>DHOOP</t>
  </si>
  <si>
    <t>60 GMS in a packet,12 packet in a box</t>
  </si>
  <si>
    <t>14 stick in a pacekt,12 packet in a box</t>
  </si>
  <si>
    <t>48 Doz</t>
  </si>
  <si>
    <t>AROMA OIL</t>
  </si>
  <si>
    <t>1 bootle of 10 ML , 12 (1 doz) x 10 ml bottle in 1 box, 144 (12 doz) x 10 ml bottle in 1 Master carton</t>
  </si>
  <si>
    <t>REED DIFFUSER 40 ML</t>
  </si>
  <si>
    <t>1 Set Contains - 40 ml Diffuser Oil,
Ceramic Pot, 6 nos of Reed Sticks, 24  set/ pack in 1 Carton</t>
  </si>
  <si>
    <t>24 SET</t>
  </si>
  <si>
    <t>REED DIFFUSER 100 ML</t>
  </si>
  <si>
    <t>1 Set Contains - 100 ml Diffuser Oil, Ceramic Pot, 8 nos of Reed Sticks, 12 set/ pack in 1 Carton</t>
  </si>
  <si>
    <t>12 pcs</t>
  </si>
  <si>
    <t>PRECIOUS  SOAPS</t>
  </si>
  <si>
    <t>100 GMS</t>
  </si>
  <si>
    <t>96 Pcs</t>
  </si>
  <si>
    <t>RESIN</t>
  </si>
  <si>
    <t>30 GMS in a packet,1 dozen in a box</t>
  </si>
  <si>
    <t>RESIN CUP DHOOP COLLECTION</t>
  </si>
  <si>
    <t>48 pack contaning 10 pcs of Cup Dhoop each</t>
  </si>
  <si>
    <t>48 Box</t>
  </si>
  <si>
    <t>CAR FRESHNER</t>
  </si>
  <si>
    <t xml:space="preserve">12 pcs packed inside the display box.
8 display box packed inside master carton </t>
  </si>
  <si>
    <t>8 Doz</t>
  </si>
  <si>
    <t xml:space="preserve">SACRED ELEMENT SPRAY &amp; YOG CHAKRA SPRAY </t>
  </si>
  <si>
    <t>100 ML Bottle, 72 Bottles in Master Carton</t>
  </si>
  <si>
    <t>SMUDGE TIN CANDLE      90 GMS</t>
  </si>
  <si>
    <t>90 gm scented tin smudge candle, wrapped with label sticker. Such 72 pcs packed inside master carton.</t>
  </si>
  <si>
    <t>GLASS JAR SMUDGE CANDLE 185 GMS</t>
  </si>
  <si>
    <t>185 gm scented tin smudge candle, wrapped with label sticker. Such 24 pcs packed inside master carton.</t>
  </si>
  <si>
    <t>2 Doz</t>
  </si>
  <si>
    <t>SMUDGE TEA LIGHT FRAGRANCE CANDLE</t>
  </si>
  <si>
    <t>1 pack Contain - 10 pcs of Tea light Candles, 12 pcs packed in 1 Outer Carton, 6 Outer Cartons in 1 Master Carton</t>
  </si>
  <si>
    <t>7 CHAKRA SMUDGE TEA LIGHT FRAGRANCE CANDLE</t>
  </si>
  <si>
    <t>1 pack Contain -7 pcs of Tea light Candles, 12 pcs packed in 1 Outer Carton, 6 Outer Cartons in 1 Master Carton</t>
  </si>
  <si>
    <t>HEXA TABLE TOP DISPLAY</t>
  </si>
  <si>
    <t>60 asst hexa in one display, 4 displays in master carton</t>
  </si>
  <si>
    <t>20 Doz</t>
  </si>
  <si>
    <t>SQUARE TABLE TOP</t>
  </si>
  <si>
    <t>25 inners of 9 variants in one display. 4 displays in master carton</t>
  </si>
  <si>
    <t>75 Doz</t>
  </si>
  <si>
    <t>AROMA OIL RETAIL READY SET</t>
  </si>
  <si>
    <t>4 displays in master carton</t>
  </si>
  <si>
    <t>4 Display</t>
  </si>
  <si>
    <t>CONES RETAIL READY DISPLAY</t>
  </si>
  <si>
    <t>Category</t>
  </si>
  <si>
    <t>HEXA 25 Doz</t>
  </si>
  <si>
    <t>HEXA 24 Doz</t>
  </si>
  <si>
    <t>HEXA 20 Doz</t>
  </si>
  <si>
    <t>HEXA 12 Doz</t>
  </si>
  <si>
    <t>HEXA 6 Doz</t>
  </si>
  <si>
    <t>Tall Hexa 10 Doz</t>
  </si>
  <si>
    <t>Tall Hexa 6 Doz</t>
  </si>
  <si>
    <t>Tall Hexa 12 doz</t>
  </si>
  <si>
    <t>Masala 15 Gm 24 Doz</t>
  </si>
  <si>
    <t>Masala 15 Gm 50 Doz (OP)</t>
  </si>
  <si>
    <t>Masala 15 Gm 6 Doz</t>
  </si>
  <si>
    <t>Masala 15 Gm 288 Pcs</t>
  </si>
  <si>
    <t>Masala 15 Gm 30 Doz</t>
  </si>
  <si>
    <t>Masala 15 Gm 40 Doz</t>
  </si>
  <si>
    <t>Square 48 Box (OP)</t>
  </si>
  <si>
    <t>Square 70 Box (OP)</t>
  </si>
  <si>
    <t>Square 36 Box</t>
  </si>
  <si>
    <t>Square 50 Box</t>
  </si>
  <si>
    <t>Square 25 Box</t>
  </si>
  <si>
    <t>Square 24 Box</t>
  </si>
  <si>
    <t>Cone 30 Dz Asrt</t>
  </si>
  <si>
    <t>Cone 10 KG</t>
  </si>
  <si>
    <t>Cone 360 Pcs</t>
  </si>
  <si>
    <t>Cone 24 Doz (Asrt 4 Dz)</t>
  </si>
  <si>
    <t>Cone 30 Doz</t>
  </si>
  <si>
    <t>BACK FLOW CONES 6 Doz</t>
  </si>
  <si>
    <t>BACK FLOW CONES 72 Pcs</t>
  </si>
  <si>
    <t>BACK FLOW CONES 24 Doz</t>
  </si>
  <si>
    <t>Pop Tall 24 Doz</t>
  </si>
  <si>
    <t>Pop Tall 48 Doz</t>
  </si>
  <si>
    <t>Pop Tall 10 Doz</t>
  </si>
  <si>
    <t>21 Sticks in a packet, 6 packet in a box,                                        2 boxes make 1 Dozen, 25 dozen in 1 master carton</t>
  </si>
  <si>
    <t>22 Sticks in a packet, 6 packet in a box,                                        2 boxes make 1 Dozen, 25 dozen in 1 master carton</t>
  </si>
  <si>
    <t>23 Sticks in a packet, 6 packet in a box,                                        2 boxes make 1 Dozen, 25 dozen in 1 master carton</t>
  </si>
  <si>
    <t>24 Sticks in a packet, 6 packet in a box,                                        2 boxes make 1 Dozen, 25 dozen in 1 master carton</t>
  </si>
  <si>
    <t>11 Sticks in a packet, 6 packets in a box, 2 boxes make 1 Dozen</t>
  </si>
  <si>
    <t>12 Sticks in a packet, 6 packets in a box, 2 boxes make 1 Dozen</t>
  </si>
  <si>
    <t>16 Grams in a packet,  12 Packs (1 dozen) in a box, 288 Packs (24 dozen) in a master carton</t>
  </si>
  <si>
    <t>17 Grams in a packet,  12 Packs (1 dozen) in a box, 288 Packs (24 dozen) in a master carton</t>
  </si>
  <si>
    <t>18 Grams in a packet,  12 Packs (1 dozen) in a box, 288 Packs (24 dozen) in a master carton</t>
  </si>
  <si>
    <t>19 Grams in a packet,  12 Packs (1 dozen) in a box, 288 Packs (24 dozen) in a master carton</t>
  </si>
  <si>
    <t>20 Grams in a packet,  12 Packs (1 dozen) in a box, 288 Packs (24 dozen) in a master carton</t>
  </si>
  <si>
    <t>Carton Suffix</t>
  </si>
  <si>
    <t>10 Doz</t>
  </si>
  <si>
    <t>288 Pcs</t>
  </si>
  <si>
    <t>40 Doz</t>
  </si>
  <si>
    <t>50 Doz</t>
  </si>
  <si>
    <t>56 Pcs</t>
  </si>
  <si>
    <t>70 Box</t>
  </si>
  <si>
    <t>25 Box</t>
  </si>
  <si>
    <t>24 Box</t>
  </si>
  <si>
    <t>120 Pcs</t>
  </si>
  <si>
    <t>6 Box</t>
  </si>
  <si>
    <t>10 Kg</t>
  </si>
  <si>
    <t>360 Pcs</t>
  </si>
  <si>
    <t>4 Dz)</t>
  </si>
  <si>
    <t>72 Pcs</t>
  </si>
  <si>
    <t>1 Doz</t>
  </si>
  <si>
    <t>24 Set</t>
  </si>
  <si>
    <t>12 Pcs</t>
  </si>
  <si>
    <t>30 Dz</t>
  </si>
  <si>
    <t xml:space="preserve">5 packs of blends with 1 Bracelet. Each pack consist 15 sticks.   Assortment consist of Palo Santo Sandal, Palo Santo Aruda, Palo Santo Cinnamon, Palo Santo Myrrh, Palo Santo Rose. </t>
  </si>
  <si>
    <t xml:space="preserve"> GIFT PACK</t>
  </si>
  <si>
    <t>Hexa Packet in an outer packet</t>
  </si>
  <si>
    <t>24 Pcs</t>
  </si>
  <si>
    <t xml:space="preserve">BACKFLOW CONE BURNER GIFT SET     </t>
  </si>
  <si>
    <t>SMUDGING INDULGENCE MASALA GIFT PACK</t>
  </si>
  <si>
    <t>NEW AGE MASALA 15 GMS</t>
  </si>
  <si>
    <t>PREMIUM MASALA INCENSE (Hexa 15Stik)</t>
  </si>
  <si>
    <t>SMUDGE CANDLE 90 GMS</t>
  </si>
  <si>
    <t>"1 pack Contain -7 pcs of Tea light Candles.12 pcs packed in 1 Outer Carton.6 Outer Cartons in 1 Master Carton"</t>
  </si>
  <si>
    <t>"1 pack Contain - 10 pcs of Tea light Candles.12 pcs packed in 1 Outer Carton.6 Outer Cartons in 1 Master Carton"</t>
  </si>
  <si>
    <t>Glass Jar Smudge Candle 185 gms</t>
  </si>
  <si>
    <t>Manifestation series candles are designed to help you focus your intentions and channel positive energy toward your goals. Each candle is crafted with specific colors, scents, and symbols to align with different aspirations, such as love, abundance, or peace</t>
  </si>
  <si>
    <t>36 Pcs</t>
  </si>
  <si>
    <t>7 chakra</t>
  </si>
  <si>
    <t>450 gm of 7 chakra colored uncensted candle with a burning time of 7 days. 12 pcs in one master carton</t>
  </si>
  <si>
    <t>"194 g 7 Chakra Candle Set featuring 7 colored unscented candles.
Packed 48 sets per master carton."</t>
  </si>
  <si>
    <t>4 Doz</t>
  </si>
  <si>
    <t>48Pcs</t>
  </si>
  <si>
    <t>Spell Candle</t>
  </si>
  <si>
    <t>"Candle Chime Set – Practical, colorful, and fun! This versatile spiritual candle assortment is perfect for chime holders, pagan altars, magic spells, ceremonies, parties, or everyday home décor.Extended Burn Time: Each 4-inch tall unscented candle burns continuously for up to 2 hours.Vibrant Variety: The set includes 40 candle sticks in 5 colors, letting you create striking decorations.
"</t>
  </si>
  <si>
    <t xml:space="preserve">48 Pcs </t>
  </si>
  <si>
    <t>Affirmation Ritual Kit</t>
  </si>
  <si>
    <t>10 Sticks in one pack with Crystal and Cards with Affirmation. 1 doz in one Outer</t>
  </si>
  <si>
    <t>144 pcs</t>
  </si>
  <si>
    <t>Balanced Living Incense Pouch</t>
  </si>
  <si>
    <t>6 Pouches in one pack</t>
  </si>
  <si>
    <t>CONES SACRED ELEMENT ORGANIC</t>
  </si>
  <si>
    <t>5 cones</t>
  </si>
  <si>
    <t>36 Doz</t>
  </si>
  <si>
    <t>ENERGY CLEANSING KIT</t>
  </si>
  <si>
    <t>24 Pack</t>
  </si>
  <si>
    <t>Manifestation candle 185 grms</t>
  </si>
  <si>
    <t xml:space="preserve">Glass Jar 185 grams Candle </t>
  </si>
  <si>
    <t xml:space="preserve">2 Doz </t>
  </si>
  <si>
    <t>24 pcs</t>
  </si>
  <si>
    <t>QATARI POWDER HEXA PACK</t>
  </si>
  <si>
    <t>Paper hexa shape 50grams in a golden pouch with wooden spoon. 12 Hexa Qatari Incense Powder in one Display Box</t>
  </si>
  <si>
    <t>SCARED ELEMENTS MANIFESTATION INCENSE</t>
  </si>
  <si>
    <t>15 gms in one pack, 6 Fragrances x 2 in one dispenser outer</t>
  </si>
  <si>
    <t xml:space="preserve">12 Dox </t>
  </si>
  <si>
    <t>SMUDGE CANDLE 185 GMS</t>
  </si>
  <si>
    <t>2 doz</t>
  </si>
  <si>
    <t>Product - 10 Sticks</t>
  </si>
  <si>
    <t>24 doz</t>
  </si>
  <si>
    <t>Product - 8 Sticks</t>
  </si>
  <si>
    <t>Sacred Element Room Spray</t>
  </si>
  <si>
    <t>Sacred Elements Dual Series Masala 15gm</t>
  </si>
  <si>
    <t xml:space="preserve">24 Doz </t>
  </si>
  <si>
    <t>Sacred Elements Jumbo 16</t>
  </si>
  <si>
    <t>Sacred Elements Spiritual Series Masala 15gm</t>
  </si>
  <si>
    <t>Smudge Balls</t>
  </si>
  <si>
    <t>4 Balls in one pack - 2 doz in one inner corrogated box</t>
  </si>
  <si>
    <t xml:space="preserve">24 Dox </t>
  </si>
  <si>
    <t>Smudge Organic Disc</t>
  </si>
  <si>
    <t>4 Disc in one pack- 2 doz in one inner corrogated box</t>
  </si>
  <si>
    <t xml:space="preserve">24 doz </t>
  </si>
  <si>
    <t>WITCHCRAFT POUCH</t>
  </si>
  <si>
    <t>144 Pcs</t>
  </si>
  <si>
    <t xml:space="preserve">12 Doz </t>
  </si>
  <si>
    <t>Manifestation Candle</t>
  </si>
  <si>
    <t>7 CHAKRA STONE</t>
  </si>
  <si>
    <t>Sacred Element Organic Incense 8 Sticks</t>
  </si>
  <si>
    <t>Sacred Element Organic Incense 10 Sticks</t>
  </si>
  <si>
    <t>12 pcs in 1 box, 12 dozen in 1 Master Carton</t>
  </si>
  <si>
    <t>Cup Dhoop</t>
  </si>
  <si>
    <t>4 doz</t>
  </si>
  <si>
    <t>12 pcs in 1 box, 4 dozen in 1 Master Carton</t>
  </si>
  <si>
    <t>Ghee Diya</t>
  </si>
  <si>
    <t>100 pcs Diya in a box, 4 doz in 1 Master Carton</t>
  </si>
  <si>
    <t>50 pcs Diya in a box, 6 doz in 1 Master Carton</t>
  </si>
  <si>
    <t>HEM Camphor</t>
  </si>
  <si>
    <t>Camphor - 100g</t>
  </si>
  <si>
    <t>9 Doz</t>
  </si>
  <si>
    <t>108 Pcs</t>
  </si>
  <si>
    <r>
      <t>HEM Gangajal</t>
    </r>
    <r>
      <rPr>
        <sz val="8"/>
        <color rgb="FF3D2020"/>
        <rFont val="Arial"/>
        <family val="2"/>
      </rPr>
      <t> </t>
    </r>
  </si>
  <si>
    <t>Gangajal, 24 pc in box</t>
  </si>
  <si>
    <t>1 Bottle x 900 ml, 20Pcs in 1 master carton</t>
  </si>
  <si>
    <t>1 Bottle x 450 ml, 40Pcs in 1 master carton</t>
  </si>
  <si>
    <t>Pooja Oil</t>
  </si>
  <si>
    <t>20 pcs</t>
  </si>
  <si>
    <t>40pcs</t>
  </si>
  <si>
    <t>20 Pcs</t>
  </si>
  <si>
    <t>40 Pcs</t>
  </si>
  <si>
    <t>Pooja Samagri</t>
  </si>
  <si>
    <t>White Abhir, Gulal, Kumkum, Haldi, Camphor Tablets, Moli, Pooja Supari, Akhata, Agarbatti, Agarbatti Wooden Stand, Janvi Jod, Goddess Photo, Vastra (Pooja Cloth) &amp; Dhoop.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</si>
</sst>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
  </numFmts>
  <fonts count="6" x14ac:knownFonts="1">
    <font>
      <sz val="11"/>
      <color theme="1"/>
      <name val="Calibri"/>
      <family val="2"/>
      <scheme val="minor"/>
    </font>
    <font>
      <sz val="11"/>
      <color theme="1"/>
      <name val="Calibri"/>
      <family val="2"/>
      <scheme val="minor"/>
    </font>
    <font>
      <b/>
      <sz val="11"/>
      <name val="Calibri"/>
      <family val="2"/>
      <scheme val="minor"/>
    </font>
    <font>
      <sz val="11"/>
      <name val="Calibri"/>
      <family val="2"/>
      <scheme val="minor"/>
    </font>
    <font>
      <sz val="8"/>
      <name val="Calibri"/>
      <family val="2"/>
      <scheme val="minor"/>
    </font>
    <font>
      <sz val="8"/>
      <color rgb="FF3D2020"/>
      <name val="Arial"/>
      <family val="2"/>
    </font>
  </fonts>
  <fills count="4">
    <fill>
      <patternFill patternType="none"/>
    </fill>
    <fill>
      <patternFill patternType="gray125"/>
    </fill>
    <fill>
      <patternFill patternType="solid">
        <fgColor theme="0" tint="-0.14996795556505021"/>
        <bgColor indexed="64"/>
      </patternFill>
    </fill>
    <fill>
      <patternFill patternType="solid">
        <fgColor theme="0"/>
        <bgColor indexed="64"/>
      </patternFill>
    </fill>
  </fills>
  <borders count="19">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bottom style="medium">
        <color auto="1"/>
      </bottom>
      <diagonal/>
    </border>
    <border>
      <left style="thin">
        <color auto="1"/>
      </left>
      <right style="thin">
        <color auto="1"/>
      </right>
      <top/>
      <bottom style="medium">
        <color auto="1"/>
      </bottom>
      <diagonal/>
    </border>
    <border>
      <left style="thin">
        <color auto="1"/>
      </left>
      <right style="thin">
        <color auto="1"/>
      </right>
      <top/>
      <bottom style="thin">
        <color auto="1"/>
      </bottom>
      <diagonal/>
    </border>
    <border>
      <left/>
      <right style="thin">
        <color auto="1"/>
      </right>
      <top style="medium">
        <color auto="1"/>
      </top>
      <bottom/>
      <diagonal/>
    </border>
    <border>
      <left style="thin">
        <color auto="1"/>
      </left>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diagonal/>
    </border>
    <border>
      <left/>
      <right style="thin">
        <color auto="1"/>
      </right>
      <top/>
      <bottom style="thin">
        <color auto="1"/>
      </bottom>
      <diagonal/>
    </border>
    <border>
      <left/>
      <right style="thin">
        <color auto="1"/>
      </right>
      <top style="thin">
        <color auto="1"/>
      </top>
      <bottom/>
      <diagonal/>
    </border>
    <border>
      <left style="thin">
        <color auto="1"/>
      </left>
      <right style="thin">
        <color auto="1"/>
      </right>
      <top/>
      <bottom/>
      <diagonal/>
    </border>
  </borders>
  <cellStyleXfs count="1">
    <xf numFmtId="0" fontId="0" fillId="0" borderId="0"/>
  </cellStyleXfs>
  <cellXfs count="80">
    <xf numFmtId="0" fontId="0" fillId="0" borderId="0" xfId="0"/>
    <xf numFmtId="0" fontId="3" fillId="0" borderId="4" xfId="0" applyFont="1" applyBorder="1" applyAlignment="1">
      <alignment horizontal="left" vertical="top"/>
    </xf>
    <xf numFmtId="0" fontId="3" fillId="0" borderId="6" xfId="0" applyFont="1" applyBorder="1" applyAlignment="1">
      <alignment horizontal="left" vertical="top"/>
    </xf>
    <xf numFmtId="0" fontId="1" fillId="0" borderId="4" xfId="0" applyFont="1" applyBorder="1" applyAlignment="1">
      <alignment horizontal="left" vertical="top"/>
    </xf>
    <xf numFmtId="0" fontId="3" fillId="0" borderId="7" xfId="0" applyFont="1" applyBorder="1" applyAlignment="1">
      <alignment horizontal="left" vertical="top"/>
    </xf>
    <xf numFmtId="0" fontId="3" fillId="0" borderId="8" xfId="0" applyFont="1" applyBorder="1" applyAlignment="1">
      <alignment horizontal="left" vertical="top"/>
    </xf>
    <xf numFmtId="0" fontId="3" fillId="0" borderId="10" xfId="0" applyFont="1" applyBorder="1" applyAlignment="1">
      <alignment horizontal="left" vertical="top"/>
    </xf>
    <xf numFmtId="0" fontId="1" fillId="0" borderId="14" xfId="0" applyFont="1" applyBorder="1" applyAlignment="1">
      <alignment horizontal="left" vertical="top"/>
    </xf>
    <xf numFmtId="0" fontId="3" fillId="0" borderId="15" xfId="0" applyFont="1" applyBorder="1" applyAlignment="1">
      <alignment horizontal="left" vertical="top"/>
    </xf>
    <xf numFmtId="0" fontId="1" fillId="0" borderId="15" xfId="0" applyFont="1" applyBorder="1" applyAlignment="1">
      <alignment horizontal="left" vertical="top"/>
    </xf>
    <xf numFmtId="0" fontId="3" fillId="0" borderId="11" xfId="0" applyFont="1" applyBorder="1" applyAlignment="1">
      <alignment horizontal="left" vertical="top"/>
    </xf>
    <xf numFmtId="0" fontId="1" fillId="0" borderId="13" xfId="0" applyFont="1" applyBorder="1" applyAlignment="1">
      <alignment horizontal="left" vertical="top"/>
    </xf>
    <xf numFmtId="0" fontId="2" fillId="2" borderId="1" xfId="0" applyFont="1" applyFill="1" applyBorder="1" applyAlignment="1">
      <alignment horizontal="left" vertical="top"/>
    </xf>
    <xf numFmtId="0" fontId="0" fillId="0" borderId="0" xfId="0" applyAlignment="1">
      <alignment horizontal="left" vertical="top"/>
    </xf>
    <xf numFmtId="0" fontId="2" fillId="2" borderId="1" xfId="0" applyFont="1" applyFill="1" applyBorder="1" applyAlignment="1">
      <alignment horizontal="left" vertical="top" wrapText="1"/>
    </xf>
    <xf numFmtId="0" fontId="3" fillId="0" borderId="3" xfId="0" applyFont="1" applyBorder="1" applyAlignment="1">
      <alignment horizontal="left" vertical="top" wrapText="1"/>
    </xf>
    <xf numFmtId="0" fontId="1" fillId="0" borderId="3" xfId="0" applyFont="1" applyBorder="1" applyAlignment="1">
      <alignment horizontal="left" vertical="top" wrapText="1"/>
    </xf>
    <xf numFmtId="0" fontId="3" fillId="0" borderId="5" xfId="0" applyFont="1" applyBorder="1" applyAlignment="1">
      <alignment horizontal="left" vertical="top" wrapText="1"/>
    </xf>
    <xf numFmtId="0" fontId="3" fillId="0" borderId="9" xfId="0" applyFont="1" applyBorder="1" applyAlignment="1">
      <alignment horizontal="left" vertical="top" wrapText="1"/>
    </xf>
    <xf numFmtId="0" fontId="3" fillId="0" borderId="12" xfId="0" applyFont="1" applyBorder="1" applyAlignment="1">
      <alignment horizontal="left" vertical="top" wrapText="1"/>
    </xf>
    <xf numFmtId="4" fontId="1" fillId="0" borderId="4" xfId="0" applyNumberFormat="1" applyFont="1" applyBorder="1" applyAlignment="1">
      <alignment horizontal="left" vertical="top"/>
    </xf>
    <xf numFmtId="0" fontId="1" fillId="0" borderId="6" xfId="0" applyFont="1" applyBorder="1" applyAlignment="1">
      <alignment horizontal="left" vertical="top"/>
    </xf>
    <xf numFmtId="4" fontId="1" fillId="0" borderId="6" xfId="0" applyNumberFormat="1" applyFont="1" applyBorder="1" applyAlignment="1">
      <alignment horizontal="left" vertical="top"/>
    </xf>
    <xf numFmtId="0" fontId="1" fillId="0" borderId="7" xfId="0" applyFont="1" applyBorder="1" applyAlignment="1">
      <alignment horizontal="left" vertical="top"/>
    </xf>
    <xf numFmtId="0" fontId="1" fillId="0" borderId="8" xfId="0" applyFont="1" applyBorder="1" applyAlignment="1">
      <alignment horizontal="left" vertical="top"/>
    </xf>
    <xf numFmtId="4" fontId="1" fillId="0" borderId="10" xfId="0" applyNumberFormat="1" applyFont="1" applyBorder="1" applyAlignment="1">
      <alignment horizontal="left" vertical="top"/>
    </xf>
    <xf numFmtId="4" fontId="3" fillId="0" borderId="8" xfId="0" applyNumberFormat="1" applyFont="1" applyBorder="1" applyAlignment="1">
      <alignment horizontal="left" vertical="top"/>
    </xf>
    <xf numFmtId="4" fontId="1" fillId="0" borderId="15" xfId="0" applyNumberFormat="1" applyFont="1" applyBorder="1" applyAlignment="1">
      <alignment horizontal="left" vertical="top"/>
    </xf>
    <xf numFmtId="4" fontId="1" fillId="0" borderId="7" xfId="0" applyNumberFormat="1" applyFont="1" applyBorder="1" applyAlignment="1">
      <alignment horizontal="left" vertical="top"/>
    </xf>
    <xf numFmtId="4" fontId="1" fillId="0" borderId="11" xfId="0" applyNumberFormat="1" applyFont="1" applyBorder="1" applyAlignment="1">
      <alignment horizontal="left" vertical="top"/>
    </xf>
    <xf numFmtId="4" fontId="1" fillId="0" borderId="8" xfId="0" applyNumberFormat="1" applyFont="1" applyBorder="1" applyAlignment="1">
      <alignment horizontal="left" vertical="top"/>
    </xf>
    <xf numFmtId="2" fontId="2" fillId="2" borderId="1" xfId="0" applyNumberFormat="1" applyFont="1" applyFill="1" applyBorder="1" applyAlignment="1">
      <alignment horizontal="left" vertical="top" wrapText="1"/>
    </xf>
    <xf numFmtId="2" fontId="2" fillId="2" borderId="2" xfId="0" applyNumberFormat="1" applyFont="1" applyFill="1" applyBorder="1" applyAlignment="1">
      <alignment horizontal="left" vertical="top" wrapText="1"/>
    </xf>
    <xf numFmtId="164" fontId="2" fillId="2" borderId="1" xfId="0" applyNumberFormat="1" applyFont="1" applyFill="1" applyBorder="1" applyAlignment="1">
      <alignment horizontal="left" vertical="top" wrapText="1"/>
    </xf>
    <xf numFmtId="2" fontId="1" fillId="0" borderId="4" xfId="0" applyNumberFormat="1" applyFont="1" applyBorder="1" applyAlignment="1">
      <alignment horizontal="left" vertical="top"/>
    </xf>
    <xf numFmtId="164" fontId="1" fillId="0" borderId="4" xfId="0" applyNumberFormat="1" applyFont="1" applyBorder="1" applyAlignment="1">
      <alignment horizontal="left" vertical="top"/>
    </xf>
    <xf numFmtId="2" fontId="1" fillId="0" borderId="6" xfId="0" applyNumberFormat="1" applyFont="1" applyBorder="1" applyAlignment="1">
      <alignment horizontal="left" vertical="top"/>
    </xf>
    <xf numFmtId="2" fontId="1" fillId="0" borderId="7" xfId="0" applyNumberFormat="1" applyFont="1" applyBorder="1" applyAlignment="1">
      <alignment horizontal="left" vertical="top"/>
    </xf>
    <xf numFmtId="164" fontId="1" fillId="0" borderId="7" xfId="0" applyNumberFormat="1" applyFont="1" applyBorder="1" applyAlignment="1">
      <alignment horizontal="left" vertical="top"/>
    </xf>
    <xf numFmtId="2" fontId="1" fillId="0" borderId="8" xfId="0" applyNumberFormat="1" applyFont="1" applyBorder="1" applyAlignment="1">
      <alignment horizontal="left" vertical="top"/>
    </xf>
    <xf numFmtId="164" fontId="1" fillId="0" borderId="8" xfId="0" applyNumberFormat="1" applyFont="1" applyBorder="1" applyAlignment="1">
      <alignment horizontal="left" vertical="top"/>
    </xf>
    <xf numFmtId="2" fontId="1" fillId="0" borderId="10" xfId="0" applyNumberFormat="1" applyFont="1" applyBorder="1" applyAlignment="1">
      <alignment horizontal="left" vertical="top"/>
    </xf>
    <xf numFmtId="165" fontId="3" fillId="3" borderId="11" xfId="0" applyNumberFormat="1" applyFont="1" applyFill="1" applyBorder="1" applyAlignment="1">
      <alignment horizontal="left" vertical="top"/>
    </xf>
    <xf numFmtId="165" fontId="3" fillId="3" borderId="7" xfId="0" applyNumberFormat="1" applyFont="1" applyFill="1" applyBorder="1" applyAlignment="1">
      <alignment horizontal="left" vertical="top"/>
    </xf>
    <xf numFmtId="164" fontId="1" fillId="0" borderId="13" xfId="0" applyNumberFormat="1" applyFont="1" applyBorder="1" applyAlignment="1">
      <alignment horizontal="left" vertical="top"/>
    </xf>
    <xf numFmtId="2" fontId="1" fillId="0" borderId="15" xfId="0" applyNumberFormat="1" applyFont="1" applyBorder="1" applyAlignment="1">
      <alignment horizontal="left" vertical="top"/>
    </xf>
    <xf numFmtId="164" fontId="1" fillId="0" borderId="15" xfId="0" applyNumberFormat="1" applyFont="1" applyBorder="1" applyAlignment="1">
      <alignment horizontal="left" vertical="top"/>
    </xf>
    <xf numFmtId="2" fontId="3" fillId="0" borderId="6" xfId="0" applyNumberFormat="1" applyFont="1" applyBorder="1" applyAlignment="1">
      <alignment horizontal="left" vertical="top"/>
    </xf>
    <xf numFmtId="164" fontId="1" fillId="0" borderId="6" xfId="0" applyNumberFormat="1" applyFont="1" applyBorder="1" applyAlignment="1">
      <alignment horizontal="left" vertical="top"/>
    </xf>
    <xf numFmtId="2" fontId="1" fillId="0" borderId="11" xfId="0" applyNumberFormat="1" applyFont="1" applyBorder="1" applyAlignment="1">
      <alignment horizontal="left" vertical="top"/>
    </xf>
    <xf numFmtId="164" fontId="1" fillId="0" borderId="11" xfId="0" applyNumberFormat="1" applyFont="1" applyBorder="1" applyAlignment="1">
      <alignment horizontal="left" vertical="top"/>
    </xf>
    <xf numFmtId="166" fontId="1" fillId="0" borderId="4" xfId="0" applyNumberFormat="1" applyFont="1" applyBorder="1" applyAlignment="1">
      <alignment horizontal="left" vertical="top"/>
    </xf>
    <xf numFmtId="1" fontId="1" fillId="0" borderId="4" xfId="0" applyNumberFormat="1" applyFont="1" applyBorder="1" applyAlignment="1">
      <alignment horizontal="left" vertical="top"/>
    </xf>
    <xf numFmtId="0" fontId="1" fillId="0" borderId="10" xfId="0" applyFont="1" applyBorder="1" applyAlignment="1">
      <alignment horizontal="left" vertical="top"/>
    </xf>
    <xf numFmtId="164" fontId="1" fillId="0" borderId="10" xfId="0" applyNumberFormat="1" applyFont="1" applyBorder="1" applyAlignment="1">
      <alignment horizontal="left" vertical="top"/>
    </xf>
    <xf numFmtId="0" fontId="0" fillId="0" borderId="7" xfId="0" applyBorder="1"/>
    <xf numFmtId="0" fontId="3" fillId="0" borderId="16" xfId="0" applyFont="1" applyBorder="1" applyAlignment="1">
      <alignment vertical="top" wrapText="1"/>
    </xf>
    <xf numFmtId="0" fontId="3" fillId="0" borderId="12" xfId="0" applyFont="1" applyBorder="1" applyAlignment="1">
      <alignment vertical="top" wrapText="1"/>
    </xf>
    <xf numFmtId="0" fontId="3" fillId="0" borderId="9" xfId="0" applyFont="1" applyBorder="1" applyAlignment="1">
      <alignment vertical="top" wrapText="1"/>
    </xf>
    <xf numFmtId="0" fontId="1" fillId="0" borderId="12" xfId="0" applyFont="1" applyBorder="1" applyAlignment="1">
      <alignment vertical="top" wrapText="1"/>
    </xf>
    <xf numFmtId="0" fontId="3" fillId="0" borderId="17" xfId="0" applyFont="1" applyBorder="1" applyAlignment="1">
      <alignment vertical="top" wrapText="1"/>
    </xf>
    <xf numFmtId="0" fontId="3" fillId="0" borderId="18" xfId="0" applyFont="1" applyBorder="1" applyAlignment="1">
      <alignment horizontal="left" vertical="top"/>
    </xf>
    <xf numFmtId="0" fontId="3" fillId="0" borderId="14" xfId="0" applyFont="1" applyBorder="1" applyAlignment="1">
      <alignment horizontal="left" vertical="top"/>
    </xf>
    <xf numFmtId="0" fontId="3" fillId="0" borderId="13" xfId="0" applyFont="1" applyBorder="1" applyAlignment="1">
      <alignment horizontal="left" vertical="top"/>
    </xf>
    <xf numFmtId="0" fontId="1" fillId="0" borderId="4" xfId="0" applyFont="1" applyBorder="1" applyAlignment="1">
      <alignment horizontal="left" vertical="top" wrapText="1"/>
    </xf>
    <xf numFmtId="0" fontId="3" fillId="0" borderId="3" xfId="0" applyFont="1" applyBorder="1" applyAlignment="1">
      <alignment vertical="top" wrapText="1"/>
    </xf>
    <xf numFmtId="0" fontId="1" fillId="0" borderId="5" xfId="0" applyFont="1" applyBorder="1" applyAlignment="1">
      <alignment horizontal="left" vertical="top" wrapText="1"/>
    </xf>
    <xf numFmtId="0" fontId="1" fillId="0" borderId="3" xfId="0" applyFont="1" applyBorder="1" applyAlignment="1">
      <alignment vertical="top"/>
    </xf>
    <xf numFmtId="0" fontId="1" fillId="0" borderId="9" xfId="0" applyFont="1" applyBorder="1" applyAlignment="1">
      <alignment horizontal="left" vertical="top" wrapText="1"/>
    </xf>
    <xf numFmtId="0" fontId="1" fillId="0" borderId="16" xfId="0" applyFont="1" applyBorder="1" applyAlignment="1">
      <alignment horizontal="left" vertical="top" wrapText="1"/>
    </xf>
    <xf numFmtId="0" fontId="1" fillId="0" borderId="5" xfId="0" applyFont="1" applyBorder="1" applyAlignment="1">
      <alignment vertical="top" wrapText="1"/>
    </xf>
    <xf numFmtId="0" fontId="1" fillId="0" borderId="12" xfId="0" applyFont="1" applyBorder="1" applyAlignment="1">
      <alignment horizontal="left" vertical="top" wrapText="1"/>
    </xf>
    <xf numFmtId="0" fontId="1" fillId="0" borderId="3" xfId="0" applyFont="1" applyBorder="1" applyAlignment="1">
      <alignment vertical="top" wrapText="1"/>
    </xf>
    <xf numFmtId="164" fontId="3" fillId="3" borderId="7" xfId="0" applyNumberFormat="1" applyFont="1" applyFill="1" applyBorder="1" applyAlignment="1">
      <alignment horizontal="left" vertical="top"/>
    </xf>
    <xf numFmtId="164" fontId="3" fillId="0" borderId="10" xfId="0" applyNumberFormat="1" applyFont="1" applyBorder="1" applyAlignment="1">
      <alignment horizontal="left" vertical="top"/>
    </xf>
    <xf numFmtId="164" fontId="3" fillId="0" borderId="4" xfId="0" applyNumberFormat="1" applyFont="1" applyBorder="1" applyAlignment="1">
      <alignment horizontal="left" vertical="top"/>
    </xf>
    <xf numFmtId="164" fontId="0" fillId="0" borderId="0" xfId="0" applyNumberFormat="1" applyAlignment="1">
      <alignment horizontal="left" vertical="top"/>
    </xf>
    <xf numFmtId="0" fontId="3" fillId="0" borderId="15" xfId="0" applyFont="1" applyBorder="1" applyAlignment="1">
      <alignment horizontal="left" vertical="top"/>
    </xf>
    <xf numFmtId="0" fontId="3" fillId="0" borderId="11" xfId="0" applyFont="1" applyBorder="1" applyAlignment="1">
      <alignment horizontal="left" vertical="top"/>
    </xf>
    <xf numFmtId="0" fontId="3" fillId="0" borderId="10" xfId="0" applyFont="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5"/>
  <sheetViews>
    <sheetView tabSelected="1" zoomScaleNormal="100" workbookViewId="0">
      <pane ySplit="1" topLeftCell="A2" activePane="bottomLeft" state="frozen"/>
      <selection pane="bottomLeft" activeCell="A103" sqref="A103:XFD103"/>
    </sheetView>
  </sheetViews>
  <sheetFormatPr defaultRowHeight="14.5" x14ac:dyDescent="0.35"/>
  <cols>
    <col min="1" max="1" width="44.36328125" style="13" bestFit="1" customWidth="1"/>
    <col min="2" max="2" width="50.08984375" style="13" customWidth="1"/>
    <col min="3" max="3" width="13.90625" style="13" bestFit="1" customWidth="1"/>
    <col min="4" max="4" width="24.81640625" style="13" bestFit="1" customWidth="1"/>
    <col min="5" max="5" width="8.6328125" style="13" bestFit="1" customWidth="1"/>
    <col min="6" max="6" width="9.6328125" style="13" bestFit="1" customWidth="1"/>
    <col min="7" max="7" width="8.7265625" style="13" bestFit="1" customWidth="1"/>
    <col min="8" max="8" width="9.81640625" style="13" bestFit="1" customWidth="1"/>
    <col min="9" max="9" width="8.54296875" style="13" bestFit="1" customWidth="1"/>
    <col min="10" max="10" width="7.36328125" style="76" bestFit="1" customWidth="1"/>
  </cols>
  <sheetData>
    <row r="1" spans="1:10" ht="29.5" thickBot="1" x14ac:dyDescent="0.4">
      <c r="A1" s="14" t="s">
        <v>120</v>
      </c>
      <c r="B1" s="12" t="s">
        <v>0</v>
      </c>
      <c r="C1" s="12" t="s">
        <v>163</v>
      </c>
      <c r="D1" s="14" t="s">
        <v>1</v>
      </c>
      <c r="E1" s="31" t="s">
        <v>2</v>
      </c>
      <c r="F1" s="31" t="s">
        <v>3</v>
      </c>
      <c r="G1" s="31" t="s">
        <v>4</v>
      </c>
      <c r="H1" s="31" t="s">
        <v>5</v>
      </c>
      <c r="I1" s="32" t="s">
        <v>6</v>
      </c>
      <c r="J1" s="33" t="s">
        <v>7</v>
      </c>
    </row>
    <row r="2" spans="1:10" ht="15" thickBot="1" x14ac:dyDescent="0.4">
      <c r="A2" s="65" t="s">
        <v>183</v>
      </c>
      <c r="B2" s="1" t="s">
        <v>9</v>
      </c>
      <c r="C2" s="1" t="s">
        <v>10</v>
      </c>
      <c r="D2" s="20" t="s">
        <v>121</v>
      </c>
      <c r="E2" s="34">
        <v>16.5</v>
      </c>
      <c r="F2" s="34">
        <v>15.5</v>
      </c>
      <c r="G2" s="34">
        <v>46.5</v>
      </c>
      <c r="H2" s="34">
        <v>32.5</v>
      </c>
      <c r="I2" s="34">
        <v>53.5</v>
      </c>
      <c r="J2" s="35">
        <v>8.0851875000000004E-2</v>
      </c>
    </row>
    <row r="3" spans="1:10" ht="15" thickBot="1" x14ac:dyDescent="0.4">
      <c r="A3" s="65" t="s">
        <v>183</v>
      </c>
      <c r="B3" s="1" t="s">
        <v>152</v>
      </c>
      <c r="C3" s="1" t="s">
        <v>17</v>
      </c>
      <c r="D3" s="1" t="s">
        <v>122</v>
      </c>
      <c r="E3" s="34">
        <v>15.8</v>
      </c>
      <c r="F3" s="34">
        <v>14.7</v>
      </c>
      <c r="G3" s="34">
        <v>40</v>
      </c>
      <c r="H3" s="34">
        <v>39</v>
      </c>
      <c r="I3" s="34">
        <v>54</v>
      </c>
      <c r="J3" s="35">
        <v>0.09</v>
      </c>
    </row>
    <row r="4" spans="1:10" ht="15" thickBot="1" x14ac:dyDescent="0.4">
      <c r="A4" s="65" t="s">
        <v>183</v>
      </c>
      <c r="B4" s="1" t="s">
        <v>153</v>
      </c>
      <c r="C4" s="1" t="s">
        <v>112</v>
      </c>
      <c r="D4" s="1" t="s">
        <v>123</v>
      </c>
      <c r="E4" s="34">
        <v>13</v>
      </c>
      <c r="F4" s="34">
        <v>12</v>
      </c>
      <c r="G4" s="34">
        <v>38</v>
      </c>
      <c r="H4" s="34">
        <v>32</v>
      </c>
      <c r="I4" s="34">
        <v>54</v>
      </c>
      <c r="J4" s="35">
        <v>7.0000000000000007E-2</v>
      </c>
    </row>
    <row r="5" spans="1:10" ht="15" thickBot="1" x14ac:dyDescent="0.4">
      <c r="A5" s="65" t="s">
        <v>183</v>
      </c>
      <c r="B5" s="1" t="s">
        <v>154</v>
      </c>
      <c r="C5" s="1" t="s">
        <v>67</v>
      </c>
      <c r="D5" s="1" t="s">
        <v>124</v>
      </c>
      <c r="E5" s="34">
        <v>8</v>
      </c>
      <c r="F5" s="34">
        <v>7.4</v>
      </c>
      <c r="G5" s="34">
        <v>57.5</v>
      </c>
      <c r="H5" s="34">
        <v>25</v>
      </c>
      <c r="I5" s="34">
        <v>27.5</v>
      </c>
      <c r="J5" s="35">
        <v>0.04</v>
      </c>
    </row>
    <row r="6" spans="1:10" ht="15" thickBot="1" x14ac:dyDescent="0.4">
      <c r="A6" s="15" t="s">
        <v>74</v>
      </c>
      <c r="B6" s="1" t="s">
        <v>155</v>
      </c>
      <c r="C6" s="1" t="s">
        <v>58</v>
      </c>
      <c r="D6" s="1" t="s">
        <v>125</v>
      </c>
      <c r="E6" s="34">
        <v>4</v>
      </c>
      <c r="F6" s="34">
        <v>3.5</v>
      </c>
      <c r="G6" s="34">
        <v>38</v>
      </c>
      <c r="H6" s="34">
        <v>27</v>
      </c>
      <c r="I6" s="34">
        <v>20</v>
      </c>
      <c r="J6" s="35">
        <v>0.02</v>
      </c>
    </row>
    <row r="7" spans="1:10" ht="15" thickBot="1" x14ac:dyDescent="0.4">
      <c r="A7" s="16" t="s">
        <v>33</v>
      </c>
      <c r="B7" s="1" t="s">
        <v>12</v>
      </c>
      <c r="C7" s="1" t="s">
        <v>67</v>
      </c>
      <c r="D7" s="20" t="s">
        <v>128</v>
      </c>
      <c r="E7" s="34">
        <v>16.5</v>
      </c>
      <c r="F7" s="34">
        <v>15.3</v>
      </c>
      <c r="G7" s="34">
        <v>60</v>
      </c>
      <c r="H7" s="34">
        <v>36</v>
      </c>
      <c r="I7" s="34">
        <v>45</v>
      </c>
      <c r="J7" s="35">
        <v>9.7000000000000003E-2</v>
      </c>
    </row>
    <row r="8" spans="1:10" ht="15" thickBot="1" x14ac:dyDescent="0.4">
      <c r="A8" s="16" t="s">
        <v>59</v>
      </c>
      <c r="B8" s="1" t="s">
        <v>156</v>
      </c>
      <c r="C8" s="1" t="s">
        <v>164</v>
      </c>
      <c r="D8" s="1" t="s">
        <v>126</v>
      </c>
      <c r="E8" s="34">
        <v>15</v>
      </c>
      <c r="F8" s="34">
        <v>14.1</v>
      </c>
      <c r="G8" s="34" t="e">
        <f>_xlfn.XLOOKUP(D8,#REF!,#REF!,"")</f>
        <v>#REF!</v>
      </c>
      <c r="H8" s="34">
        <v>36.5</v>
      </c>
      <c r="I8" s="34">
        <v>44.5</v>
      </c>
      <c r="J8" s="35">
        <v>7.0000000000000007E-2</v>
      </c>
    </row>
    <row r="9" spans="1:10" ht="15" thickBot="1" x14ac:dyDescent="0.4">
      <c r="A9" s="16" t="s">
        <v>108</v>
      </c>
      <c r="B9" s="1" t="s">
        <v>157</v>
      </c>
      <c r="C9" s="1" t="s">
        <v>58</v>
      </c>
      <c r="D9" s="1" t="s">
        <v>127</v>
      </c>
      <c r="E9" s="34">
        <v>9</v>
      </c>
      <c r="F9" s="34">
        <v>8.1999999999999993</v>
      </c>
      <c r="G9" s="34" t="e">
        <f>_xlfn.XLOOKUP(D9,#REF!,#REF!,"")</f>
        <v>#REF!</v>
      </c>
      <c r="H9" s="34">
        <v>30</v>
      </c>
      <c r="I9" s="34">
        <v>44</v>
      </c>
      <c r="J9" s="35">
        <v>0.05</v>
      </c>
    </row>
    <row r="10" spans="1:10" ht="15" thickBot="1" x14ac:dyDescent="0.4">
      <c r="A10" s="16" t="s">
        <v>243</v>
      </c>
      <c r="B10" s="1" t="s">
        <v>14</v>
      </c>
      <c r="C10" s="1" t="s">
        <v>10</v>
      </c>
      <c r="D10" s="1" t="s">
        <v>10</v>
      </c>
      <c r="E10" s="34">
        <v>16.5</v>
      </c>
      <c r="F10" s="34">
        <v>15.5</v>
      </c>
      <c r="G10" s="34">
        <v>46.5</v>
      </c>
      <c r="H10" s="34">
        <v>32.5</v>
      </c>
      <c r="I10" s="34">
        <v>53.5</v>
      </c>
      <c r="J10" s="35">
        <v>8.0851875000000004E-2</v>
      </c>
    </row>
    <row r="11" spans="1:10" ht="15" thickBot="1" x14ac:dyDescent="0.4">
      <c r="A11" s="17" t="s">
        <v>65</v>
      </c>
      <c r="B11" s="2" t="s">
        <v>16</v>
      </c>
      <c r="C11" s="8" t="s">
        <v>17</v>
      </c>
      <c r="D11" s="1" t="s">
        <v>129</v>
      </c>
      <c r="E11" s="36">
        <v>10.3</v>
      </c>
      <c r="F11" s="36">
        <v>9.6</v>
      </c>
      <c r="G11" s="21">
        <v>49</v>
      </c>
      <c r="H11" s="21">
        <v>27</v>
      </c>
      <c r="I11" s="21">
        <v>45</v>
      </c>
      <c r="J11" s="48" t="s">
        <v>18</v>
      </c>
    </row>
    <row r="12" spans="1:10" ht="15" thickBot="1" x14ac:dyDescent="0.4">
      <c r="A12" s="17" t="s">
        <v>80</v>
      </c>
      <c r="B12" s="2" t="s">
        <v>158</v>
      </c>
      <c r="C12" s="8" t="s">
        <v>167</v>
      </c>
      <c r="D12" s="1" t="s">
        <v>130</v>
      </c>
      <c r="E12" s="36">
        <v>21</v>
      </c>
      <c r="F12" s="36">
        <v>20</v>
      </c>
      <c r="G12" s="36">
        <v>66</v>
      </c>
      <c r="H12" s="36">
        <v>42</v>
      </c>
      <c r="I12" s="21">
        <v>47</v>
      </c>
      <c r="J12" s="48">
        <v>0.13</v>
      </c>
    </row>
    <row r="13" spans="1:10" ht="15" thickBot="1" x14ac:dyDescent="0.4">
      <c r="A13" s="66" t="s">
        <v>116</v>
      </c>
      <c r="B13" s="2" t="s">
        <v>159</v>
      </c>
      <c r="C13" s="8" t="s">
        <v>58</v>
      </c>
      <c r="D13" s="1" t="s">
        <v>131</v>
      </c>
      <c r="E13" s="36">
        <v>2.5499999999999998</v>
      </c>
      <c r="F13" s="36">
        <v>2.2000000000000002</v>
      </c>
      <c r="G13" s="36">
        <v>27</v>
      </c>
      <c r="H13" s="36">
        <v>25.4</v>
      </c>
      <c r="I13" s="21">
        <v>24</v>
      </c>
      <c r="J13" s="48">
        <v>0.02</v>
      </c>
    </row>
    <row r="14" spans="1:10" ht="15" thickBot="1" x14ac:dyDescent="0.4">
      <c r="A14" s="70" t="s">
        <v>56</v>
      </c>
      <c r="B14" s="2" t="s">
        <v>160</v>
      </c>
      <c r="C14" s="8" t="s">
        <v>165</v>
      </c>
      <c r="D14" s="1" t="s">
        <v>132</v>
      </c>
      <c r="E14" s="36">
        <v>10.3</v>
      </c>
      <c r="F14" s="36">
        <v>9.6</v>
      </c>
      <c r="G14" s="36">
        <v>49</v>
      </c>
      <c r="H14" s="36">
        <v>27</v>
      </c>
      <c r="I14" s="21">
        <v>45</v>
      </c>
      <c r="J14" s="48">
        <v>0.06</v>
      </c>
    </row>
    <row r="15" spans="1:10" ht="15" thickBot="1" x14ac:dyDescent="0.4">
      <c r="A15" s="70" t="s">
        <v>56</v>
      </c>
      <c r="B15" s="2" t="s">
        <v>161</v>
      </c>
      <c r="C15" s="8" t="s">
        <v>52</v>
      </c>
      <c r="D15" s="1" t="s">
        <v>133</v>
      </c>
      <c r="E15" s="36">
        <v>12.75</v>
      </c>
      <c r="F15" s="36">
        <v>10.75</v>
      </c>
      <c r="G15" s="36">
        <v>41.5</v>
      </c>
      <c r="H15" s="36">
        <v>40</v>
      </c>
      <c r="I15" s="21">
        <v>47.5</v>
      </c>
      <c r="J15" s="48">
        <v>0.08</v>
      </c>
    </row>
    <row r="16" spans="1:10" ht="15" thickBot="1" x14ac:dyDescent="0.4">
      <c r="A16" s="70" t="s">
        <v>56</v>
      </c>
      <c r="B16" s="2" t="s">
        <v>162</v>
      </c>
      <c r="C16" s="8" t="s">
        <v>166</v>
      </c>
      <c r="D16" s="1" t="s">
        <v>134</v>
      </c>
      <c r="E16" s="36">
        <v>22.87</v>
      </c>
      <c r="F16" s="36">
        <v>21.9</v>
      </c>
      <c r="G16" s="36">
        <v>50.5</v>
      </c>
      <c r="H16" s="36">
        <v>34</v>
      </c>
      <c r="I16" s="21">
        <v>51</v>
      </c>
      <c r="J16" s="48">
        <v>0.09</v>
      </c>
    </row>
    <row r="17" spans="1:10" ht="15" thickBot="1" x14ac:dyDescent="0.4">
      <c r="A17" s="16" t="s">
        <v>186</v>
      </c>
      <c r="B17" s="2" t="s">
        <v>19</v>
      </c>
      <c r="C17" s="8" t="s">
        <v>17</v>
      </c>
      <c r="D17" s="3" t="s">
        <v>17</v>
      </c>
      <c r="E17" s="36">
        <v>10.3</v>
      </c>
      <c r="F17" s="36">
        <v>9.6</v>
      </c>
      <c r="G17" s="21">
        <v>49</v>
      </c>
      <c r="H17" s="21">
        <v>27</v>
      </c>
      <c r="I17" s="21">
        <v>45</v>
      </c>
      <c r="J17" s="48" t="s">
        <v>18</v>
      </c>
    </row>
    <row r="18" spans="1:10" ht="15" thickBot="1" x14ac:dyDescent="0.4">
      <c r="A18" s="15" t="s">
        <v>96</v>
      </c>
      <c r="B18" s="3" t="s">
        <v>21</v>
      </c>
      <c r="C18" s="3" t="s">
        <v>22</v>
      </c>
      <c r="D18" s="3" t="s">
        <v>22</v>
      </c>
      <c r="E18" s="34">
        <v>13.8</v>
      </c>
      <c r="F18" s="34">
        <v>12.8</v>
      </c>
      <c r="G18" s="34">
        <v>58.5</v>
      </c>
      <c r="H18" s="34">
        <v>31</v>
      </c>
      <c r="I18" s="34">
        <v>51.2</v>
      </c>
      <c r="J18" s="35">
        <f>+G18*H18*I18/1000000</f>
        <v>9.2851200000000009E-2</v>
      </c>
    </row>
    <row r="19" spans="1:10" ht="15" thickBot="1" x14ac:dyDescent="0.4">
      <c r="A19" s="65" t="s">
        <v>50</v>
      </c>
      <c r="B19" s="3" t="s">
        <v>21</v>
      </c>
      <c r="C19" s="3" t="s">
        <v>22</v>
      </c>
      <c r="D19" s="3" t="s">
        <v>22</v>
      </c>
      <c r="E19" s="34">
        <v>13.8</v>
      </c>
      <c r="F19" s="34">
        <v>12.8</v>
      </c>
      <c r="G19" s="34">
        <v>58.5</v>
      </c>
      <c r="H19" s="34">
        <v>31</v>
      </c>
      <c r="I19" s="34">
        <v>51.2</v>
      </c>
      <c r="J19" s="35">
        <f>+G19*H19*I19/1000000</f>
        <v>9.2851200000000009E-2</v>
      </c>
    </row>
    <row r="20" spans="1:10" ht="58.5" thickBot="1" x14ac:dyDescent="0.4">
      <c r="A20" s="65" t="s">
        <v>50</v>
      </c>
      <c r="B20" s="64" t="s">
        <v>182</v>
      </c>
      <c r="C20" s="3" t="s">
        <v>22</v>
      </c>
      <c r="D20" s="3" t="s">
        <v>22</v>
      </c>
      <c r="E20" s="34">
        <v>20.5</v>
      </c>
      <c r="F20" s="34">
        <v>19</v>
      </c>
      <c r="G20" s="34">
        <v>46.5</v>
      </c>
      <c r="H20" s="34">
        <v>40.5</v>
      </c>
      <c r="I20" s="34">
        <v>48</v>
      </c>
      <c r="J20" s="35">
        <v>0.08</v>
      </c>
    </row>
    <row r="21" spans="1:10" ht="15" thickBot="1" x14ac:dyDescent="0.4">
      <c r="A21" s="57" t="s">
        <v>50</v>
      </c>
      <c r="B21" s="2" t="s">
        <v>24</v>
      </c>
      <c r="C21" s="2" t="s">
        <v>168</v>
      </c>
      <c r="D21" s="22" t="s">
        <v>25</v>
      </c>
      <c r="E21" s="36">
        <v>16.7</v>
      </c>
      <c r="F21" s="36">
        <v>15.2</v>
      </c>
      <c r="G21" s="21" t="s">
        <v>26</v>
      </c>
      <c r="H21" s="21" t="s">
        <v>27</v>
      </c>
      <c r="I21" s="21" t="s">
        <v>28</v>
      </c>
      <c r="J21" s="48" t="s">
        <v>29</v>
      </c>
    </row>
    <row r="22" spans="1:10" ht="15" thickBot="1" x14ac:dyDescent="0.4">
      <c r="A22" s="57" t="s">
        <v>50</v>
      </c>
      <c r="B22" s="4" t="s">
        <v>30</v>
      </c>
      <c r="C22" s="3" t="s">
        <v>22</v>
      </c>
      <c r="D22" s="23" t="s">
        <v>31</v>
      </c>
      <c r="E22" s="37">
        <v>16.3</v>
      </c>
      <c r="F22" s="37">
        <v>15.1</v>
      </c>
      <c r="G22" s="37">
        <v>41</v>
      </c>
      <c r="H22" s="37">
        <v>36.5</v>
      </c>
      <c r="I22" s="37">
        <v>53</v>
      </c>
      <c r="J22" s="38">
        <v>7.9073820000000003E-2</v>
      </c>
    </row>
    <row r="23" spans="1:10" ht="15" thickBot="1" x14ac:dyDescent="0.4">
      <c r="A23" s="57" t="s">
        <v>50</v>
      </c>
      <c r="B23" s="5" t="s">
        <v>32</v>
      </c>
      <c r="C23" s="3" t="s">
        <v>22</v>
      </c>
      <c r="D23" s="24" t="s">
        <v>31</v>
      </c>
      <c r="E23" s="39">
        <v>23.4</v>
      </c>
      <c r="F23" s="39">
        <v>22.4</v>
      </c>
      <c r="G23" s="39">
        <v>41.5</v>
      </c>
      <c r="H23" s="39">
        <v>33.5</v>
      </c>
      <c r="I23" s="39">
        <v>48.5</v>
      </c>
      <c r="J23" s="40">
        <v>6.7427125000000004E-2</v>
      </c>
    </row>
    <row r="24" spans="1:10" ht="15" thickBot="1" x14ac:dyDescent="0.4">
      <c r="A24" s="65" t="s">
        <v>50</v>
      </c>
      <c r="B24" s="3" t="s">
        <v>34</v>
      </c>
      <c r="C24" s="3" t="s">
        <v>22</v>
      </c>
      <c r="D24" s="3" t="s">
        <v>31</v>
      </c>
      <c r="E24" s="34">
        <v>16.3</v>
      </c>
      <c r="F24" s="34">
        <v>15.1</v>
      </c>
      <c r="G24" s="34">
        <v>42</v>
      </c>
      <c r="H24" s="34">
        <v>36</v>
      </c>
      <c r="I24" s="34">
        <v>53</v>
      </c>
      <c r="J24" s="35">
        <f t="shared" ref="J24" si="0">+G24*H24*I24/1000000</f>
        <v>8.0135999999999999E-2</v>
      </c>
    </row>
    <row r="25" spans="1:10" ht="15" thickBot="1" x14ac:dyDescent="0.4">
      <c r="A25" s="65" t="s">
        <v>50</v>
      </c>
      <c r="B25" s="3" t="s">
        <v>36</v>
      </c>
      <c r="C25" s="3" t="s">
        <v>37</v>
      </c>
      <c r="D25" s="3" t="s">
        <v>37</v>
      </c>
      <c r="E25" s="34">
        <v>15.3</v>
      </c>
      <c r="F25" s="34">
        <v>14.3</v>
      </c>
      <c r="G25" s="34">
        <v>42.5</v>
      </c>
      <c r="H25" s="34">
        <v>40</v>
      </c>
      <c r="I25" s="34">
        <v>54.5</v>
      </c>
      <c r="J25" s="35">
        <v>9.2766407999999995E-2</v>
      </c>
    </row>
    <row r="26" spans="1:10" ht="15" thickBot="1" x14ac:dyDescent="0.4">
      <c r="A26" s="16" t="s">
        <v>119</v>
      </c>
      <c r="B26" s="3" t="s">
        <v>39</v>
      </c>
      <c r="C26" s="3" t="s">
        <v>40</v>
      </c>
      <c r="D26" s="3" t="s">
        <v>40</v>
      </c>
      <c r="E26" s="34">
        <v>11.5</v>
      </c>
      <c r="F26" s="34">
        <v>10.9</v>
      </c>
      <c r="G26" s="34">
        <v>46</v>
      </c>
      <c r="H26" s="34">
        <v>40.5</v>
      </c>
      <c r="I26" s="34">
        <v>47</v>
      </c>
      <c r="J26" s="35">
        <f>G26*H26*I26/1000000</f>
        <v>8.7561E-2</v>
      </c>
    </row>
    <row r="27" spans="1:10" ht="15" thickBot="1" x14ac:dyDescent="0.4">
      <c r="A27" s="57" t="s">
        <v>76</v>
      </c>
      <c r="B27" s="1" t="s">
        <v>42</v>
      </c>
      <c r="C27" s="1" t="s">
        <v>43</v>
      </c>
      <c r="D27" s="20" t="s">
        <v>43</v>
      </c>
      <c r="E27" s="34">
        <v>23</v>
      </c>
      <c r="F27" s="34">
        <v>21.5</v>
      </c>
      <c r="G27" s="34">
        <v>41.5</v>
      </c>
      <c r="H27" s="34">
        <v>41.5</v>
      </c>
      <c r="I27" s="34">
        <v>54.7</v>
      </c>
      <c r="J27" s="35">
        <v>9.4207075000000001E-2</v>
      </c>
    </row>
    <row r="28" spans="1:10" ht="15" thickBot="1" x14ac:dyDescent="0.4">
      <c r="A28" s="57" t="s">
        <v>72</v>
      </c>
      <c r="B28" s="6"/>
      <c r="C28" s="6" t="s">
        <v>95</v>
      </c>
      <c r="D28" s="6" t="s">
        <v>135</v>
      </c>
      <c r="E28" s="6">
        <v>23</v>
      </c>
      <c r="F28" s="6">
        <v>21.5</v>
      </c>
      <c r="G28" s="6">
        <v>56</v>
      </c>
      <c r="H28" s="6">
        <v>36.5</v>
      </c>
      <c r="I28" s="6">
        <v>54</v>
      </c>
      <c r="J28" s="35">
        <v>0.11</v>
      </c>
    </row>
    <row r="29" spans="1:10" ht="15" thickBot="1" x14ac:dyDescent="0.4">
      <c r="A29" s="71" t="s">
        <v>103</v>
      </c>
      <c r="B29" s="6"/>
      <c r="C29" s="6" t="s">
        <v>169</v>
      </c>
      <c r="D29" s="6" t="s">
        <v>136</v>
      </c>
      <c r="E29" s="6">
        <v>29.2</v>
      </c>
      <c r="F29" s="6">
        <v>27.5</v>
      </c>
      <c r="G29" s="6">
        <v>56.6</v>
      </c>
      <c r="H29" s="6">
        <v>41</v>
      </c>
      <c r="I29" s="6">
        <v>54</v>
      </c>
      <c r="J29" s="35">
        <v>0.13</v>
      </c>
    </row>
    <row r="30" spans="1:10" ht="15" thickBot="1" x14ac:dyDescent="0.4">
      <c r="A30" s="19" t="s">
        <v>8</v>
      </c>
      <c r="B30" s="6"/>
      <c r="C30" s="6" t="s">
        <v>46</v>
      </c>
      <c r="D30" s="6" t="s">
        <v>137</v>
      </c>
      <c r="E30" s="6">
        <v>17</v>
      </c>
      <c r="F30" s="6">
        <v>16</v>
      </c>
      <c r="G30" s="6">
        <v>49</v>
      </c>
      <c r="H30" s="6">
        <v>26</v>
      </c>
      <c r="I30" s="6">
        <v>55</v>
      </c>
      <c r="J30" s="35">
        <v>7.0000000000000007E-2</v>
      </c>
    </row>
    <row r="31" spans="1:10" ht="15" thickBot="1" x14ac:dyDescent="0.4">
      <c r="A31" s="19" t="s">
        <v>8</v>
      </c>
      <c r="B31" s="6"/>
      <c r="C31" s="6" t="s">
        <v>43</v>
      </c>
      <c r="D31" s="6" t="s">
        <v>138</v>
      </c>
      <c r="E31" s="6">
        <v>23</v>
      </c>
      <c r="F31" s="6">
        <v>21.5</v>
      </c>
      <c r="G31" s="6">
        <v>41.5</v>
      </c>
      <c r="H31" s="6">
        <v>41.5</v>
      </c>
      <c r="I31" s="6">
        <v>54.7</v>
      </c>
      <c r="J31" s="35">
        <v>0.1</v>
      </c>
    </row>
    <row r="32" spans="1:10" ht="15" thickBot="1" x14ac:dyDescent="0.4">
      <c r="A32" s="19" t="s">
        <v>8</v>
      </c>
      <c r="B32" s="6"/>
      <c r="C32" s="6" t="s">
        <v>170</v>
      </c>
      <c r="D32" s="6" t="s">
        <v>139</v>
      </c>
      <c r="E32" s="6">
        <v>12</v>
      </c>
      <c r="F32" s="6">
        <v>11</v>
      </c>
      <c r="G32" s="6">
        <v>42</v>
      </c>
      <c r="H32" s="6">
        <v>42</v>
      </c>
      <c r="I32" s="6">
        <v>28</v>
      </c>
      <c r="J32" s="35">
        <v>0.05</v>
      </c>
    </row>
    <row r="33" spans="1:10" ht="15" thickBot="1" x14ac:dyDescent="0.4">
      <c r="A33" s="19" t="s">
        <v>8</v>
      </c>
      <c r="B33" s="6"/>
      <c r="C33" s="6" t="s">
        <v>171</v>
      </c>
      <c r="D33" s="6" t="s">
        <v>140</v>
      </c>
      <c r="E33" s="6">
        <v>11</v>
      </c>
      <c r="F33" s="6">
        <v>10.5</v>
      </c>
      <c r="G33" s="6">
        <v>49</v>
      </c>
      <c r="H33" s="6">
        <v>28.5</v>
      </c>
      <c r="I33" s="6">
        <v>34</v>
      </c>
      <c r="J33" s="35">
        <v>0.05</v>
      </c>
    </row>
    <row r="34" spans="1:10" ht="15" thickBot="1" x14ac:dyDescent="0.4">
      <c r="A34" s="18" t="s">
        <v>8</v>
      </c>
      <c r="B34" s="6" t="s">
        <v>45</v>
      </c>
      <c r="C34" s="6" t="s">
        <v>46</v>
      </c>
      <c r="D34" s="25" t="s">
        <v>46</v>
      </c>
      <c r="E34" s="41">
        <v>14.2</v>
      </c>
      <c r="F34" s="41">
        <v>15.2</v>
      </c>
      <c r="G34" s="42">
        <v>52.5</v>
      </c>
      <c r="H34" s="42">
        <v>27</v>
      </c>
      <c r="I34" s="42">
        <v>45</v>
      </c>
      <c r="J34" s="35">
        <f>G34*H34*I34/1000000</f>
        <v>6.3787499999999997E-2</v>
      </c>
    </row>
    <row r="35" spans="1:10" ht="15" thickBot="1" x14ac:dyDescent="0.4">
      <c r="A35" s="15" t="s">
        <v>110</v>
      </c>
      <c r="B35" s="3" t="s">
        <v>48</v>
      </c>
      <c r="C35" s="1" t="s">
        <v>172</v>
      </c>
      <c r="D35" s="3" t="s">
        <v>49</v>
      </c>
      <c r="E35" s="34">
        <v>17.925000000000001</v>
      </c>
      <c r="F35" s="34">
        <v>16.399999999999999</v>
      </c>
      <c r="G35" s="34">
        <v>56</v>
      </c>
      <c r="H35" s="34">
        <v>36</v>
      </c>
      <c r="I35" s="34">
        <v>53.5</v>
      </c>
      <c r="J35" s="35">
        <f>G35*H35*I35/1000000</f>
        <v>0.10785599999999999</v>
      </c>
    </row>
    <row r="36" spans="1:10" ht="15" thickBot="1" x14ac:dyDescent="0.4">
      <c r="A36" s="19" t="s">
        <v>15</v>
      </c>
      <c r="B36" s="2" t="s">
        <v>51</v>
      </c>
      <c r="C36" s="2" t="s">
        <v>52</v>
      </c>
      <c r="D36" s="22" t="s">
        <v>52</v>
      </c>
      <c r="E36" s="36">
        <v>10.4</v>
      </c>
      <c r="F36" s="36">
        <v>9.3000000000000007</v>
      </c>
      <c r="G36" s="43">
        <v>34.5</v>
      </c>
      <c r="H36" s="43">
        <v>26.5</v>
      </c>
      <c r="I36" s="43">
        <v>48</v>
      </c>
      <c r="J36" s="73">
        <v>4.3999999999999997E-2</v>
      </c>
    </row>
    <row r="37" spans="1:10" ht="15" thickBot="1" x14ac:dyDescent="0.4">
      <c r="A37" s="19" t="s">
        <v>15</v>
      </c>
      <c r="B37" s="5" t="s">
        <v>53</v>
      </c>
      <c r="C37" s="5" t="s">
        <v>173</v>
      </c>
      <c r="D37" s="26" t="s">
        <v>54</v>
      </c>
      <c r="E37" s="36">
        <v>8.3000000000000007</v>
      </c>
      <c r="F37" s="36">
        <v>7.5</v>
      </c>
      <c r="G37" s="43">
        <v>38</v>
      </c>
      <c r="H37" s="43">
        <v>33.5</v>
      </c>
      <c r="I37" s="43">
        <v>28.5</v>
      </c>
      <c r="J37" s="73">
        <v>3.5999999999999997E-2</v>
      </c>
    </row>
    <row r="38" spans="1:10" ht="15" thickBot="1" x14ac:dyDescent="0.4">
      <c r="A38" s="19" t="s">
        <v>15</v>
      </c>
      <c r="B38" s="6"/>
      <c r="C38" s="6" t="s">
        <v>181</v>
      </c>
      <c r="D38" s="6" t="s">
        <v>141</v>
      </c>
      <c r="E38" s="6">
        <v>10.199999999999999</v>
      </c>
      <c r="F38" s="6">
        <v>9.8000000000000007</v>
      </c>
      <c r="G38" s="6">
        <v>40</v>
      </c>
      <c r="H38" s="6">
        <v>32</v>
      </c>
      <c r="I38" s="6">
        <v>35</v>
      </c>
      <c r="J38" s="74">
        <v>0.05</v>
      </c>
    </row>
    <row r="39" spans="1:10" ht="15" thickBot="1" x14ac:dyDescent="0.4">
      <c r="A39" s="19" t="s">
        <v>15</v>
      </c>
      <c r="B39" s="6"/>
      <c r="C39" s="6" t="s">
        <v>174</v>
      </c>
      <c r="D39" s="6" t="s">
        <v>142</v>
      </c>
      <c r="E39" s="6">
        <v>11.5</v>
      </c>
      <c r="F39" s="6">
        <v>10</v>
      </c>
      <c r="G39" s="6">
        <v>29</v>
      </c>
      <c r="H39" s="6">
        <v>23.5</v>
      </c>
      <c r="I39" s="6">
        <v>67.5</v>
      </c>
      <c r="J39" s="74">
        <v>0.05</v>
      </c>
    </row>
    <row r="40" spans="1:10" ht="15" thickBot="1" x14ac:dyDescent="0.4">
      <c r="A40" s="19" t="s">
        <v>15</v>
      </c>
      <c r="B40" s="6"/>
      <c r="C40" s="6" t="s">
        <v>175</v>
      </c>
      <c r="D40" s="6" t="s">
        <v>143</v>
      </c>
      <c r="E40" s="6">
        <v>10.199999999999999</v>
      </c>
      <c r="F40" s="6">
        <v>9.3000000000000007</v>
      </c>
      <c r="G40" s="6">
        <v>40</v>
      </c>
      <c r="H40" s="6">
        <v>32</v>
      </c>
      <c r="I40" s="6">
        <v>35</v>
      </c>
      <c r="J40" s="74">
        <v>0.05</v>
      </c>
    </row>
    <row r="41" spans="1:10" ht="15" thickBot="1" x14ac:dyDescent="0.4">
      <c r="A41" s="19" t="s">
        <v>15</v>
      </c>
      <c r="B41" s="6"/>
      <c r="C41" s="6" t="s">
        <v>176</v>
      </c>
      <c r="D41" s="6" t="s">
        <v>144</v>
      </c>
      <c r="E41" s="6">
        <v>8.3000000000000007</v>
      </c>
      <c r="F41" s="6">
        <v>7.5</v>
      </c>
      <c r="G41" s="6">
        <v>39</v>
      </c>
      <c r="H41" s="6">
        <v>32</v>
      </c>
      <c r="I41" s="6">
        <v>27</v>
      </c>
      <c r="J41" s="74">
        <v>0.04</v>
      </c>
    </row>
    <row r="42" spans="1:10" ht="15" thickBot="1" x14ac:dyDescent="0.4">
      <c r="A42" s="71" t="s">
        <v>55</v>
      </c>
      <c r="B42" s="6"/>
      <c r="C42" s="6" t="s">
        <v>52</v>
      </c>
      <c r="D42" s="6" t="s">
        <v>145</v>
      </c>
      <c r="E42" s="6">
        <v>10.199999999999999</v>
      </c>
      <c r="F42" s="6">
        <v>9.3000000000000007</v>
      </c>
      <c r="G42" s="6">
        <v>40</v>
      </c>
      <c r="H42" s="6">
        <v>32</v>
      </c>
      <c r="I42" s="6">
        <v>35</v>
      </c>
      <c r="J42" s="74">
        <v>0.05</v>
      </c>
    </row>
    <row r="43" spans="1:10" ht="15" thickBot="1" x14ac:dyDescent="0.4">
      <c r="A43" s="16" t="s">
        <v>23</v>
      </c>
      <c r="B43" s="53" t="s">
        <v>51</v>
      </c>
      <c r="C43" s="6" t="s">
        <v>17</v>
      </c>
      <c r="D43" s="53" t="s">
        <v>17</v>
      </c>
      <c r="E43" s="41">
        <v>13.5</v>
      </c>
      <c r="F43" s="41">
        <v>12.4</v>
      </c>
      <c r="G43" s="41">
        <v>47.5</v>
      </c>
      <c r="H43" s="41">
        <v>44.3</v>
      </c>
      <c r="I43" s="41">
        <v>32.5</v>
      </c>
      <c r="J43" s="54">
        <v>7.0000000000000007E-2</v>
      </c>
    </row>
    <row r="44" spans="1:10" ht="15" thickBot="1" x14ac:dyDescent="0.4">
      <c r="A44" s="71" t="s">
        <v>188</v>
      </c>
      <c r="B44" s="3" t="s">
        <v>57</v>
      </c>
      <c r="C44" s="1" t="s">
        <v>58</v>
      </c>
      <c r="D44" s="3" t="s">
        <v>146</v>
      </c>
      <c r="E44" s="34">
        <v>9.6</v>
      </c>
      <c r="F44" s="34">
        <v>8.85</v>
      </c>
      <c r="G44" s="34">
        <v>31.5</v>
      </c>
      <c r="H44" s="34">
        <v>27.5</v>
      </c>
      <c r="I44" s="34">
        <v>45</v>
      </c>
      <c r="J44" s="35">
        <v>0.04</v>
      </c>
    </row>
    <row r="45" spans="1:10" ht="15" thickBot="1" x14ac:dyDescent="0.4">
      <c r="A45" s="59" t="s">
        <v>68</v>
      </c>
      <c r="B45" s="3"/>
      <c r="C45" s="1" t="s">
        <v>177</v>
      </c>
      <c r="D45" s="3" t="s">
        <v>147</v>
      </c>
      <c r="E45" s="34">
        <v>0</v>
      </c>
      <c r="F45" s="34">
        <v>0</v>
      </c>
      <c r="G45" s="34">
        <v>0</v>
      </c>
      <c r="H45" s="34">
        <v>0</v>
      </c>
      <c r="I45" s="34">
        <v>0</v>
      </c>
      <c r="J45" s="44">
        <v>0</v>
      </c>
    </row>
    <row r="46" spans="1:10" ht="15" thickBot="1" x14ac:dyDescent="0.4">
      <c r="A46" s="59" t="s">
        <v>68</v>
      </c>
      <c r="B46" s="3"/>
      <c r="C46" s="1" t="s">
        <v>17</v>
      </c>
      <c r="D46" s="3" t="s">
        <v>148</v>
      </c>
      <c r="E46" s="34">
        <v>10.5</v>
      </c>
      <c r="F46" s="34">
        <v>9.5</v>
      </c>
      <c r="G46" s="34">
        <v>39.5</v>
      </c>
      <c r="H46" s="34">
        <v>27</v>
      </c>
      <c r="I46" s="34">
        <v>42.5</v>
      </c>
      <c r="J46" s="44">
        <v>0.05</v>
      </c>
    </row>
    <row r="47" spans="1:10" ht="15" thickBot="1" x14ac:dyDescent="0.4">
      <c r="A47" s="72" t="s">
        <v>68</v>
      </c>
      <c r="B47" s="3" t="s">
        <v>60</v>
      </c>
      <c r="C47" s="1" t="s">
        <v>67</v>
      </c>
      <c r="D47" s="3" t="s">
        <v>13</v>
      </c>
      <c r="E47" s="34">
        <v>12.31</v>
      </c>
      <c r="F47" s="34">
        <v>12</v>
      </c>
      <c r="G47" s="34">
        <v>36</v>
      </c>
      <c r="H47" s="34">
        <v>35.5</v>
      </c>
      <c r="I47" s="34">
        <v>27.5</v>
      </c>
      <c r="J47" s="44">
        <f t="shared" ref="J47" si="1">G47*H47*I47/1000000</f>
        <v>3.5145000000000003E-2</v>
      </c>
    </row>
    <row r="48" spans="1:10" ht="15" thickBot="1" x14ac:dyDescent="0.4">
      <c r="A48" s="15" t="s">
        <v>88</v>
      </c>
      <c r="B48" s="7" t="s">
        <v>61</v>
      </c>
      <c r="C48" s="62" t="s">
        <v>178</v>
      </c>
      <c r="D48" s="3" t="s">
        <v>62</v>
      </c>
      <c r="E48" s="34">
        <v>9.57</v>
      </c>
      <c r="F48" s="34">
        <v>8.57</v>
      </c>
      <c r="G48" s="34">
        <v>48.5</v>
      </c>
      <c r="H48" s="34">
        <v>32.5</v>
      </c>
      <c r="I48" s="34">
        <v>29</v>
      </c>
      <c r="J48" s="35">
        <f>(G48*H48*I48)/1000000</f>
        <v>4.5711250000000002E-2</v>
      </c>
    </row>
    <row r="49" spans="1:10" ht="15" thickBot="1" x14ac:dyDescent="0.4">
      <c r="A49" s="16" t="s">
        <v>189</v>
      </c>
      <c r="B49" s="3" t="s">
        <v>63</v>
      </c>
      <c r="C49" s="62" t="s">
        <v>58</v>
      </c>
      <c r="D49" s="7" t="s">
        <v>64</v>
      </c>
      <c r="E49" s="34">
        <v>12</v>
      </c>
      <c r="F49" s="34">
        <v>10</v>
      </c>
      <c r="G49" s="34">
        <v>32.4</v>
      </c>
      <c r="H49" s="34">
        <v>15</v>
      </c>
      <c r="I49" s="34">
        <v>32</v>
      </c>
      <c r="J49" s="35">
        <v>1.6E-2</v>
      </c>
    </row>
    <row r="50" spans="1:10" ht="15" thickBot="1" x14ac:dyDescent="0.4">
      <c r="A50" s="19" t="s">
        <v>85</v>
      </c>
      <c r="B50" s="8" t="s">
        <v>66</v>
      </c>
      <c r="C50" s="8" t="s">
        <v>67</v>
      </c>
      <c r="D50" s="27" t="s">
        <v>67</v>
      </c>
      <c r="E50" s="45">
        <v>15</v>
      </c>
      <c r="F50" s="45">
        <v>14.15</v>
      </c>
      <c r="G50" s="45">
        <v>41</v>
      </c>
      <c r="H50" s="45">
        <v>30</v>
      </c>
      <c r="I50" s="45">
        <v>45.5</v>
      </c>
      <c r="J50" s="46">
        <v>5.5E-2</v>
      </c>
    </row>
    <row r="51" spans="1:10" ht="15" thickBot="1" x14ac:dyDescent="0.4">
      <c r="A51" s="19" t="s">
        <v>82</v>
      </c>
      <c r="B51" s="9" t="s">
        <v>69</v>
      </c>
      <c r="C51" s="61" t="s">
        <v>17</v>
      </c>
      <c r="D51" s="55" t="s">
        <v>149</v>
      </c>
      <c r="E51" s="45">
        <v>12.6</v>
      </c>
      <c r="F51" s="45">
        <v>11.1</v>
      </c>
      <c r="G51" s="45">
        <v>39.5</v>
      </c>
      <c r="H51" s="45">
        <v>38.5</v>
      </c>
      <c r="I51" s="45">
        <v>54.5</v>
      </c>
      <c r="J51" s="46">
        <v>0.09</v>
      </c>
    </row>
    <row r="52" spans="1:10" ht="15" thickBot="1" x14ac:dyDescent="0.4">
      <c r="A52" s="19" t="s">
        <v>91</v>
      </c>
      <c r="C52" s="61" t="s">
        <v>79</v>
      </c>
      <c r="D52" s="55" t="s">
        <v>150</v>
      </c>
      <c r="E52" s="45">
        <v>25.3</v>
      </c>
      <c r="F52" s="45">
        <v>22.4</v>
      </c>
      <c r="G52" s="45">
        <v>57</v>
      </c>
      <c r="H52" s="45">
        <v>53</v>
      </c>
      <c r="I52" s="45">
        <v>55</v>
      </c>
      <c r="J52" s="46">
        <v>0.17</v>
      </c>
    </row>
    <row r="53" spans="1:10" ht="15" thickBot="1" x14ac:dyDescent="0.4">
      <c r="A53" s="71" t="s">
        <v>93</v>
      </c>
      <c r="B53" s="9"/>
      <c r="C53" s="61" t="s">
        <v>164</v>
      </c>
      <c r="D53" s="55" t="s">
        <v>151</v>
      </c>
      <c r="E53" s="45">
        <v>8</v>
      </c>
      <c r="F53" s="45">
        <v>7.5</v>
      </c>
      <c r="G53" s="45">
        <v>45</v>
      </c>
      <c r="H53" s="45">
        <v>37</v>
      </c>
      <c r="I53" s="45">
        <v>28</v>
      </c>
      <c r="J53" s="46">
        <v>0.05</v>
      </c>
    </row>
    <row r="54" spans="1:10" x14ac:dyDescent="0.35">
      <c r="A54" s="19" t="s">
        <v>99</v>
      </c>
      <c r="B54" s="77" t="s">
        <v>71</v>
      </c>
      <c r="C54" s="61" t="s">
        <v>67</v>
      </c>
      <c r="D54" s="29" t="s">
        <v>67</v>
      </c>
      <c r="E54" s="47">
        <v>24</v>
      </c>
      <c r="F54" s="47">
        <v>23</v>
      </c>
      <c r="G54" s="36">
        <v>51.5</v>
      </c>
      <c r="H54" s="36">
        <v>33.5</v>
      </c>
      <c r="I54" s="36">
        <v>60</v>
      </c>
      <c r="J54" s="48">
        <v>0.104</v>
      </c>
    </row>
    <row r="55" spans="1:10" ht="15" thickBot="1" x14ac:dyDescent="0.4">
      <c r="A55" s="68" t="s">
        <v>106</v>
      </c>
      <c r="B55" s="79"/>
      <c r="C55" s="6" t="s">
        <v>67</v>
      </c>
      <c r="D55" s="24" t="s">
        <v>67</v>
      </c>
      <c r="E55" s="39">
        <v>24.2</v>
      </c>
      <c r="F55" s="39">
        <v>22.5</v>
      </c>
      <c r="G55" s="39">
        <v>54</v>
      </c>
      <c r="H55" s="39">
        <v>44</v>
      </c>
      <c r="I55" s="39">
        <v>34</v>
      </c>
      <c r="J55" s="40">
        <v>8.0783999999999995E-2</v>
      </c>
    </row>
    <row r="56" spans="1:10" x14ac:dyDescent="0.35">
      <c r="A56" s="71" t="s">
        <v>101</v>
      </c>
      <c r="B56" s="77" t="s">
        <v>73</v>
      </c>
      <c r="C56" s="8" t="s">
        <v>67</v>
      </c>
      <c r="D56" s="22" t="s">
        <v>67</v>
      </c>
      <c r="E56" s="36">
        <v>20</v>
      </c>
      <c r="F56" s="36">
        <v>19</v>
      </c>
      <c r="G56" s="36">
        <v>42.5</v>
      </c>
      <c r="H56" s="36">
        <v>32</v>
      </c>
      <c r="I56" s="36">
        <v>49</v>
      </c>
      <c r="J56" s="48">
        <v>6.6640000000000005E-2</v>
      </c>
    </row>
    <row r="57" spans="1:10" x14ac:dyDescent="0.35">
      <c r="A57" s="69" t="s">
        <v>187</v>
      </c>
      <c r="B57" s="78"/>
      <c r="C57" s="10" t="s">
        <v>67</v>
      </c>
      <c r="D57" s="28" t="s">
        <v>67</v>
      </c>
      <c r="E57" s="37">
        <v>26.8</v>
      </c>
      <c r="F57" s="37">
        <v>25.8</v>
      </c>
      <c r="G57" s="37">
        <v>46.5</v>
      </c>
      <c r="H57" s="37">
        <v>36.5</v>
      </c>
      <c r="I57" s="37">
        <v>55</v>
      </c>
      <c r="J57" s="38">
        <v>9.4E-2</v>
      </c>
    </row>
    <row r="58" spans="1:10" x14ac:dyDescent="0.35">
      <c r="A58" s="56" t="s">
        <v>41</v>
      </c>
      <c r="B58" s="10" t="s">
        <v>75</v>
      </c>
      <c r="C58" s="10" t="s">
        <v>17</v>
      </c>
      <c r="D58" s="29" t="s">
        <v>17</v>
      </c>
      <c r="E58" s="49"/>
      <c r="F58" s="49"/>
      <c r="G58" s="49"/>
      <c r="H58" s="49"/>
      <c r="I58" s="49"/>
      <c r="J58" s="50"/>
    </row>
    <row r="59" spans="1:10" x14ac:dyDescent="0.35">
      <c r="A59" s="60" t="s">
        <v>41</v>
      </c>
      <c r="B59" s="10" t="s">
        <v>77</v>
      </c>
      <c r="C59" s="10" t="s">
        <v>17</v>
      </c>
      <c r="D59" s="29" t="s">
        <v>17</v>
      </c>
      <c r="E59" s="49">
        <v>29.4</v>
      </c>
      <c r="F59" s="49">
        <v>28</v>
      </c>
      <c r="G59" s="49">
        <v>45</v>
      </c>
      <c r="H59" s="49">
        <v>41</v>
      </c>
      <c r="I59" s="49">
        <v>54</v>
      </c>
      <c r="J59" s="50">
        <v>9.9629999999999996E-2</v>
      </c>
    </row>
    <row r="60" spans="1:10" ht="15" thickBot="1" x14ac:dyDescent="0.4">
      <c r="A60" s="58" t="s">
        <v>41</v>
      </c>
      <c r="B60" s="5" t="s">
        <v>78</v>
      </c>
      <c r="C60" s="5" t="s">
        <v>79</v>
      </c>
      <c r="D60" s="30" t="s">
        <v>79</v>
      </c>
      <c r="E60" s="39">
        <v>27</v>
      </c>
      <c r="F60" s="39">
        <v>25.3</v>
      </c>
      <c r="G60" s="39">
        <v>61.5</v>
      </c>
      <c r="H60" s="39">
        <v>46</v>
      </c>
      <c r="I60" s="39">
        <v>35</v>
      </c>
      <c r="J60" s="40">
        <v>9.9015000000000006E-2</v>
      </c>
    </row>
    <row r="61" spans="1:10" ht="15" thickBot="1" x14ac:dyDescent="0.4">
      <c r="A61" s="65" t="s">
        <v>41</v>
      </c>
      <c r="B61" s="1" t="s">
        <v>81</v>
      </c>
      <c r="C61" s="1" t="s">
        <v>67</v>
      </c>
      <c r="D61" s="3" t="s">
        <v>67</v>
      </c>
      <c r="E61" s="34">
        <v>7</v>
      </c>
      <c r="F61" s="34">
        <v>6</v>
      </c>
      <c r="G61" s="34">
        <v>29</v>
      </c>
      <c r="H61" s="34">
        <v>24.5</v>
      </c>
      <c r="I61" s="34">
        <v>16</v>
      </c>
      <c r="J61" s="35">
        <v>1.1368E-2</v>
      </c>
    </row>
    <row r="62" spans="1:10" ht="15" thickBot="1" x14ac:dyDescent="0.4">
      <c r="A62" s="65" t="s">
        <v>41</v>
      </c>
      <c r="B62" s="1" t="s">
        <v>83</v>
      </c>
      <c r="C62" s="1" t="s">
        <v>179</v>
      </c>
      <c r="D62" s="3" t="s">
        <v>84</v>
      </c>
      <c r="E62" s="34">
        <v>5.2</v>
      </c>
      <c r="F62" s="34">
        <v>4.9000000000000004</v>
      </c>
      <c r="G62" s="34">
        <v>28</v>
      </c>
      <c r="H62" s="34">
        <v>25</v>
      </c>
      <c r="I62" s="34">
        <v>48</v>
      </c>
      <c r="J62" s="35">
        <v>3.3000000000000002E-2</v>
      </c>
    </row>
    <row r="63" spans="1:10" ht="15" thickBot="1" x14ac:dyDescent="0.4">
      <c r="A63" s="65" t="s">
        <v>41</v>
      </c>
      <c r="B63" s="1" t="s">
        <v>86</v>
      </c>
      <c r="C63" s="1" t="s">
        <v>180</v>
      </c>
      <c r="D63" s="3" t="s">
        <v>87</v>
      </c>
      <c r="E63" s="34">
        <v>4.8</v>
      </c>
      <c r="F63" s="34">
        <v>6</v>
      </c>
      <c r="G63" s="34">
        <v>37.6</v>
      </c>
      <c r="H63" s="34">
        <v>37.6</v>
      </c>
      <c r="I63" s="34">
        <v>25.2</v>
      </c>
      <c r="J63" s="35">
        <v>3.5999999999999997E-2</v>
      </c>
    </row>
    <row r="64" spans="1:10" ht="15" thickBot="1" x14ac:dyDescent="0.4">
      <c r="A64" s="65" t="s">
        <v>41</v>
      </c>
      <c r="B64" s="1" t="s">
        <v>89</v>
      </c>
      <c r="C64" s="1" t="s">
        <v>90</v>
      </c>
      <c r="D64" s="3" t="s">
        <v>90</v>
      </c>
      <c r="E64" s="34">
        <v>11</v>
      </c>
      <c r="F64" s="34">
        <v>10</v>
      </c>
      <c r="G64" s="34">
        <v>41.5</v>
      </c>
      <c r="H64" s="34">
        <v>27.5</v>
      </c>
      <c r="I64" s="34">
        <v>21</v>
      </c>
      <c r="J64" s="35">
        <v>2.3966250000000001E-2</v>
      </c>
    </row>
    <row r="65" spans="1:10" ht="15" thickBot="1" x14ac:dyDescent="0.4">
      <c r="A65" s="15" t="s">
        <v>44</v>
      </c>
      <c r="B65" s="1" t="s">
        <v>92</v>
      </c>
      <c r="C65" s="1" t="s">
        <v>17</v>
      </c>
      <c r="D65" s="3" t="s">
        <v>17</v>
      </c>
      <c r="E65" s="34">
        <v>15</v>
      </c>
      <c r="F65" s="34">
        <v>14</v>
      </c>
      <c r="G65" s="34">
        <v>63</v>
      </c>
      <c r="H65" s="34">
        <v>32</v>
      </c>
      <c r="I65" s="34">
        <v>41</v>
      </c>
      <c r="J65" s="35">
        <f>G65*H65*I65/1000000</f>
        <v>8.2655999999999993E-2</v>
      </c>
    </row>
    <row r="66" spans="1:10" ht="15" thickBot="1" x14ac:dyDescent="0.4">
      <c r="A66" s="16" t="s">
        <v>47</v>
      </c>
      <c r="B66" s="3" t="s">
        <v>94</v>
      </c>
      <c r="C66" s="1" t="s">
        <v>95</v>
      </c>
      <c r="D66" s="3" t="s">
        <v>95</v>
      </c>
      <c r="E66" s="34">
        <v>10.5</v>
      </c>
      <c r="F66" s="34">
        <v>9.6999999999999993</v>
      </c>
      <c r="G66" s="3">
        <v>37.5</v>
      </c>
      <c r="H66" s="3">
        <v>30.5</v>
      </c>
      <c r="I66" s="3">
        <v>46</v>
      </c>
      <c r="J66" s="75">
        <v>5.2999999999999999E-2</v>
      </c>
    </row>
    <row r="67" spans="1:10" ht="15" thickBot="1" x14ac:dyDescent="0.4">
      <c r="A67" s="15" t="s">
        <v>113</v>
      </c>
      <c r="B67" s="1" t="s">
        <v>97</v>
      </c>
      <c r="C67" s="1" t="s">
        <v>98</v>
      </c>
      <c r="D67" s="3" t="s">
        <v>98</v>
      </c>
      <c r="E67" s="34">
        <v>6.5</v>
      </c>
      <c r="F67" s="34">
        <v>5</v>
      </c>
      <c r="G67" s="34">
        <v>33.5</v>
      </c>
      <c r="H67" s="34">
        <v>29</v>
      </c>
      <c r="I67" s="34">
        <v>32</v>
      </c>
      <c r="J67" s="35">
        <f t="shared" ref="J67" si="2">+G67*H67*I67/1000000</f>
        <v>3.1088000000000001E-2</v>
      </c>
    </row>
    <row r="68" spans="1:10" ht="15" thickBot="1" x14ac:dyDescent="0.4">
      <c r="A68" s="67" t="s">
        <v>70</v>
      </c>
      <c r="B68" s="1" t="s">
        <v>100</v>
      </c>
      <c r="C68" s="1" t="s">
        <v>58</v>
      </c>
      <c r="D68" s="3" t="s">
        <v>58</v>
      </c>
      <c r="E68" s="34">
        <v>10.72</v>
      </c>
      <c r="F68" s="34">
        <v>9.7200000000000006</v>
      </c>
      <c r="G68" s="34">
        <v>28</v>
      </c>
      <c r="H68" s="34">
        <v>28</v>
      </c>
      <c r="I68" s="34">
        <v>34.5</v>
      </c>
      <c r="J68" s="35">
        <v>2.7047999999999999E-2</v>
      </c>
    </row>
    <row r="69" spans="1:10" ht="15" thickBot="1" x14ac:dyDescent="0.4">
      <c r="A69" s="15" t="s">
        <v>11</v>
      </c>
      <c r="B69" s="11" t="s">
        <v>102</v>
      </c>
      <c r="C69" s="63" t="s">
        <v>58</v>
      </c>
      <c r="D69" s="3" t="s">
        <v>58</v>
      </c>
      <c r="E69" s="34">
        <v>11.4</v>
      </c>
      <c r="F69" s="34">
        <v>11</v>
      </c>
      <c r="G69" s="34">
        <v>37.5</v>
      </c>
      <c r="H69" s="34">
        <v>28.2</v>
      </c>
      <c r="I69" s="34">
        <v>34.799999999999997</v>
      </c>
      <c r="J69" s="35">
        <f t="shared" ref="J69" si="3">+G69*H69*I69/1000000</f>
        <v>3.6801E-2</v>
      </c>
    </row>
    <row r="70" spans="1:10" ht="15" thickBot="1" x14ac:dyDescent="0.4">
      <c r="A70" s="15" t="s">
        <v>11</v>
      </c>
      <c r="B70" s="3" t="s">
        <v>104</v>
      </c>
      <c r="C70" s="1" t="s">
        <v>105</v>
      </c>
      <c r="D70" s="3" t="s">
        <v>105</v>
      </c>
      <c r="E70" s="34">
        <v>12.75</v>
      </c>
      <c r="F70" s="34">
        <v>11.2</v>
      </c>
      <c r="G70" s="34">
        <v>37.5</v>
      </c>
      <c r="H70" s="34">
        <v>28.2</v>
      </c>
      <c r="I70" s="34">
        <v>34.799999999999997</v>
      </c>
      <c r="J70" s="35">
        <v>3.6801E-2</v>
      </c>
    </row>
    <row r="71" spans="1:10" ht="15" thickBot="1" x14ac:dyDescent="0.4">
      <c r="A71" s="15" t="s">
        <v>11</v>
      </c>
      <c r="B71" s="3" t="s">
        <v>107</v>
      </c>
      <c r="C71" s="1" t="s">
        <v>58</v>
      </c>
      <c r="D71" s="3" t="s">
        <v>64</v>
      </c>
      <c r="E71" s="34">
        <v>13</v>
      </c>
      <c r="F71" s="34">
        <v>11</v>
      </c>
      <c r="G71" s="34">
        <v>35</v>
      </c>
      <c r="H71" s="34">
        <v>22</v>
      </c>
      <c r="I71" s="34">
        <v>39</v>
      </c>
      <c r="J71" s="35">
        <v>0.03</v>
      </c>
    </row>
    <row r="72" spans="1:10" ht="15" thickBot="1" x14ac:dyDescent="0.4">
      <c r="A72" s="16" t="s">
        <v>20</v>
      </c>
      <c r="B72" s="3" t="s">
        <v>109</v>
      </c>
      <c r="C72" s="1" t="s">
        <v>58</v>
      </c>
      <c r="D72" s="3" t="s">
        <v>64</v>
      </c>
      <c r="E72" s="34">
        <v>10.46</v>
      </c>
      <c r="F72" s="34">
        <v>8.4</v>
      </c>
      <c r="G72" s="51">
        <v>28.4</v>
      </c>
      <c r="H72" s="51">
        <v>31.6</v>
      </c>
      <c r="I72" s="52">
        <v>30</v>
      </c>
      <c r="J72" s="35">
        <v>2.7E-2</v>
      </c>
    </row>
    <row r="73" spans="1:10" ht="15" thickBot="1" x14ac:dyDescent="0.4">
      <c r="A73" s="16" t="s">
        <v>35</v>
      </c>
      <c r="B73" s="1" t="s">
        <v>111</v>
      </c>
      <c r="C73" s="1" t="s">
        <v>112</v>
      </c>
      <c r="D73" s="3" t="s">
        <v>112</v>
      </c>
      <c r="E73" s="34">
        <v>11.5</v>
      </c>
      <c r="F73" s="34">
        <v>10.5</v>
      </c>
      <c r="G73" s="34">
        <v>63</v>
      </c>
      <c r="H73" s="34">
        <v>54.5</v>
      </c>
      <c r="I73" s="34">
        <v>28.5</v>
      </c>
      <c r="J73" s="35">
        <f t="shared" ref="J73:J74" si="4">G73*H73*I73/1000000</f>
        <v>9.7854750000000004E-2</v>
      </c>
    </row>
    <row r="74" spans="1:10" ht="15" thickBot="1" x14ac:dyDescent="0.4">
      <c r="A74" s="16" t="s">
        <v>38</v>
      </c>
      <c r="B74" s="1" t="s">
        <v>114</v>
      </c>
      <c r="C74" s="1" t="s">
        <v>115</v>
      </c>
      <c r="D74" s="3" t="s">
        <v>115</v>
      </c>
      <c r="E74" s="34">
        <v>14</v>
      </c>
      <c r="F74" s="34">
        <v>13.1</v>
      </c>
      <c r="G74" s="34">
        <v>52.5</v>
      </c>
      <c r="H74" s="34">
        <v>52.5</v>
      </c>
      <c r="I74" s="34">
        <v>29</v>
      </c>
      <c r="J74" s="35">
        <f t="shared" si="4"/>
        <v>7.9931249999999995E-2</v>
      </c>
    </row>
    <row r="75" spans="1:10" ht="15" thickBot="1" x14ac:dyDescent="0.4">
      <c r="A75" s="67"/>
      <c r="B75" s="3" t="s">
        <v>117</v>
      </c>
      <c r="C75" s="1" t="s">
        <v>118</v>
      </c>
      <c r="D75" s="3" t="s">
        <v>118</v>
      </c>
      <c r="E75" s="34">
        <v>9.65</v>
      </c>
      <c r="F75" s="34">
        <v>9</v>
      </c>
      <c r="G75" s="34"/>
      <c r="H75" s="34"/>
      <c r="I75" s="34"/>
      <c r="J75" s="35">
        <v>2.8000000000000001E-2</v>
      </c>
    </row>
    <row r="76" spans="1:10" ht="15" thickBot="1" x14ac:dyDescent="0.4">
      <c r="A76" s="65"/>
      <c r="B76" s="11" t="s">
        <v>117</v>
      </c>
      <c r="C76" s="63">
        <v>4</v>
      </c>
      <c r="D76" s="3">
        <v>4</v>
      </c>
      <c r="E76" s="34">
        <v>12.8</v>
      </c>
      <c r="F76" s="34">
        <v>12</v>
      </c>
      <c r="G76" s="34"/>
      <c r="H76" s="34"/>
      <c r="I76" s="34"/>
      <c r="J76" s="35">
        <v>6.2E-2</v>
      </c>
    </row>
    <row r="77" spans="1:10" ht="15" thickBot="1" x14ac:dyDescent="0.4">
      <c r="A77" s="65"/>
      <c r="B77" s="65" t="s">
        <v>184</v>
      </c>
      <c r="C77" s="3" t="s">
        <v>185</v>
      </c>
      <c r="D77" s="3" t="s">
        <v>185</v>
      </c>
      <c r="E77" s="3">
        <v>19.78</v>
      </c>
      <c r="F77" s="3">
        <v>18.170000000000002</v>
      </c>
      <c r="G77" s="3">
        <v>61</v>
      </c>
      <c r="H77" s="3">
        <v>57</v>
      </c>
      <c r="I77" s="3">
        <v>28.5</v>
      </c>
      <c r="J77" s="35">
        <v>0.1</v>
      </c>
    </row>
    <row r="78" spans="1:10" ht="15" thickBot="1" x14ac:dyDescent="0.4">
      <c r="A78" s="16" t="s">
        <v>190</v>
      </c>
      <c r="B78" s="1" t="s">
        <v>102</v>
      </c>
      <c r="C78" s="1" t="s">
        <v>177</v>
      </c>
      <c r="D78" s="3" t="s">
        <v>58</v>
      </c>
      <c r="E78" s="34">
        <v>12.75</v>
      </c>
      <c r="F78" s="34">
        <v>11.2</v>
      </c>
      <c r="G78" s="34">
        <v>37.5</v>
      </c>
      <c r="H78" s="34">
        <v>28.2</v>
      </c>
      <c r="I78" s="34">
        <v>34.799999999999997</v>
      </c>
      <c r="J78" s="35">
        <v>3.6999999999999998E-2</v>
      </c>
    </row>
    <row r="79" spans="1:10" ht="15" thickBot="1" x14ac:dyDescent="0.4">
      <c r="A79" s="16" t="s">
        <v>106</v>
      </c>
      <c r="B79" s="1" t="s">
        <v>192</v>
      </c>
      <c r="C79" s="1" t="s">
        <v>177</v>
      </c>
      <c r="D79" s="3" t="s">
        <v>64</v>
      </c>
      <c r="E79" s="34">
        <v>11</v>
      </c>
      <c r="F79" s="34">
        <v>13</v>
      </c>
      <c r="G79" s="34">
        <v>35</v>
      </c>
      <c r="H79" s="34">
        <v>22</v>
      </c>
      <c r="I79" s="34">
        <v>39</v>
      </c>
      <c r="J79" s="35">
        <v>0.03</v>
      </c>
    </row>
    <row r="80" spans="1:10" ht="15" thickBot="1" x14ac:dyDescent="0.4">
      <c r="A80" s="16" t="s">
        <v>196</v>
      </c>
      <c r="B80" s="1" t="s">
        <v>198</v>
      </c>
      <c r="C80" s="1" t="s">
        <v>200</v>
      </c>
      <c r="D80" s="3" t="s">
        <v>199</v>
      </c>
      <c r="E80" s="34">
        <v>11.08</v>
      </c>
      <c r="F80" s="34">
        <v>10.08</v>
      </c>
      <c r="G80" s="34">
        <v>37</v>
      </c>
      <c r="H80" s="34">
        <v>28</v>
      </c>
      <c r="I80" s="34">
        <v>21</v>
      </c>
      <c r="J80" s="35">
        <v>2.1999999999999999E-2</v>
      </c>
    </row>
    <row r="81" spans="1:10" ht="15" thickBot="1" x14ac:dyDescent="0.4">
      <c r="A81" s="16" t="s">
        <v>196</v>
      </c>
      <c r="B81" s="1" t="s">
        <v>197</v>
      </c>
      <c r="C81" s="1" t="s">
        <v>180</v>
      </c>
      <c r="D81" s="3" t="s">
        <v>178</v>
      </c>
      <c r="E81" s="34">
        <v>9.0519999999999996</v>
      </c>
      <c r="F81" s="34">
        <v>8.0519999999999996</v>
      </c>
      <c r="G81" s="34">
        <v>28.5</v>
      </c>
      <c r="H81" s="34">
        <v>21.5</v>
      </c>
      <c r="I81" s="34">
        <v>23.5</v>
      </c>
      <c r="J81" s="35">
        <v>1.4E-2</v>
      </c>
    </row>
    <row r="82" spans="1:10" ht="15" thickBot="1" x14ac:dyDescent="0.4">
      <c r="A82" s="16" t="s">
        <v>196</v>
      </c>
      <c r="B82" s="1" t="s">
        <v>191</v>
      </c>
      <c r="C82" s="1" t="s">
        <v>177</v>
      </c>
      <c r="D82" s="3" t="s">
        <v>64</v>
      </c>
      <c r="E82" s="34">
        <v>11.8</v>
      </c>
      <c r="F82" s="34">
        <v>11.6</v>
      </c>
      <c r="G82" s="34">
        <v>28.4</v>
      </c>
      <c r="H82" s="34">
        <v>31.6</v>
      </c>
      <c r="I82" s="34">
        <v>30</v>
      </c>
      <c r="J82" s="35">
        <v>2.7E-2</v>
      </c>
    </row>
    <row r="83" spans="1:10" ht="15" thickBot="1" x14ac:dyDescent="0.4">
      <c r="A83" s="16" t="s">
        <v>193</v>
      </c>
      <c r="B83" s="1" t="s">
        <v>104</v>
      </c>
      <c r="C83" s="1" t="s">
        <v>185</v>
      </c>
      <c r="D83" s="3" t="s">
        <v>105</v>
      </c>
      <c r="E83" s="34">
        <v>12.75</v>
      </c>
      <c r="F83" s="34">
        <v>11.2</v>
      </c>
      <c r="G83" s="34">
        <v>37.5</v>
      </c>
      <c r="H83" s="34">
        <v>28.2</v>
      </c>
      <c r="I83" s="34">
        <v>34.799999999999997</v>
      </c>
      <c r="J83" s="35">
        <v>3.6999999999999998E-2</v>
      </c>
    </row>
    <row r="84" spans="1:10" ht="15" thickBot="1" x14ac:dyDescent="0.4">
      <c r="A84" s="16" t="s">
        <v>242</v>
      </c>
      <c r="B84" s="1" t="s">
        <v>194</v>
      </c>
      <c r="C84" s="1" t="s">
        <v>195</v>
      </c>
      <c r="D84" s="3" t="s">
        <v>40</v>
      </c>
      <c r="E84" s="34">
        <v>12</v>
      </c>
      <c r="F84" s="34">
        <v>11.23</v>
      </c>
      <c r="G84" s="34">
        <v>36</v>
      </c>
      <c r="H84" s="34">
        <v>27</v>
      </c>
      <c r="I84" s="34">
        <v>27</v>
      </c>
      <c r="J84" s="35">
        <v>2.6244E-2</v>
      </c>
    </row>
    <row r="85" spans="1:10" ht="15" thickBot="1" x14ac:dyDescent="0.4">
      <c r="A85" s="16" t="s">
        <v>201</v>
      </c>
      <c r="B85" s="1" t="s">
        <v>202</v>
      </c>
      <c r="C85" s="1" t="s">
        <v>203</v>
      </c>
      <c r="D85" s="3" t="s">
        <v>199</v>
      </c>
      <c r="E85" s="34">
        <v>9.5440000000000005</v>
      </c>
      <c r="F85" s="34">
        <v>8.5440000000000005</v>
      </c>
      <c r="G85" s="34">
        <v>44.8</v>
      </c>
      <c r="H85" s="34">
        <v>30</v>
      </c>
      <c r="I85" s="34">
        <v>10</v>
      </c>
      <c r="J85" s="35">
        <v>1.2999999999999999E-2</v>
      </c>
    </row>
    <row r="86" spans="1:10" ht="15" thickBot="1" x14ac:dyDescent="0.4">
      <c r="A86" s="16" t="s">
        <v>204</v>
      </c>
      <c r="B86" s="1" t="s">
        <v>205</v>
      </c>
      <c r="C86" s="1" t="s">
        <v>206</v>
      </c>
      <c r="D86" s="3" t="s">
        <v>67</v>
      </c>
      <c r="E86" s="34">
        <v>7</v>
      </c>
      <c r="F86" s="34">
        <v>5</v>
      </c>
      <c r="G86" s="34">
        <v>46.5</v>
      </c>
      <c r="H86" s="34">
        <v>36.5</v>
      </c>
      <c r="I86" s="34">
        <v>55</v>
      </c>
      <c r="J86" s="35">
        <v>0.09</v>
      </c>
    </row>
    <row r="87" spans="1:10" ht="15" thickBot="1" x14ac:dyDescent="0.4">
      <c r="A87" s="16" t="s">
        <v>207</v>
      </c>
      <c r="B87" s="1" t="s">
        <v>208</v>
      </c>
      <c r="C87" s="1" t="s">
        <v>206</v>
      </c>
      <c r="D87" s="3" t="s">
        <v>67</v>
      </c>
      <c r="E87" s="34">
        <v>30</v>
      </c>
      <c r="F87" s="34">
        <v>28</v>
      </c>
      <c r="G87" s="34">
        <v>48</v>
      </c>
      <c r="H87" s="34">
        <v>51</v>
      </c>
      <c r="I87" s="34">
        <v>45</v>
      </c>
      <c r="J87" s="35">
        <v>0.11</v>
      </c>
    </row>
    <row r="88" spans="1:10" ht="15" thickBot="1" x14ac:dyDescent="0.4">
      <c r="A88" s="16" t="s">
        <v>209</v>
      </c>
      <c r="B88" s="1" t="s">
        <v>210</v>
      </c>
      <c r="C88" s="3" t="s">
        <v>211</v>
      </c>
      <c r="D88" s="3" t="s">
        <v>211</v>
      </c>
      <c r="E88" s="34">
        <v>20</v>
      </c>
      <c r="F88" s="34">
        <v>19.2</v>
      </c>
      <c r="G88" s="34">
        <v>48.5</v>
      </c>
      <c r="H88" s="34">
        <v>40.5</v>
      </c>
      <c r="I88" s="34">
        <v>42</v>
      </c>
      <c r="J88" s="35">
        <v>0.08</v>
      </c>
    </row>
    <row r="89" spans="1:10" ht="15" thickBot="1" x14ac:dyDescent="0.4">
      <c r="A89" s="16" t="s">
        <v>212</v>
      </c>
      <c r="B89" s="1" t="s">
        <v>212</v>
      </c>
      <c r="C89" s="3" t="s">
        <v>213</v>
      </c>
      <c r="D89" s="3" t="s">
        <v>213</v>
      </c>
      <c r="E89" s="34">
        <v>16</v>
      </c>
      <c r="F89" s="34">
        <v>15</v>
      </c>
      <c r="G89" s="34">
        <v>22</v>
      </c>
      <c r="H89" s="34">
        <v>7.8</v>
      </c>
      <c r="I89" s="34">
        <v>21</v>
      </c>
      <c r="J89" s="35">
        <v>9.2999999999999999E-2</v>
      </c>
    </row>
    <row r="90" spans="1:10" ht="15" thickBot="1" x14ac:dyDescent="0.4">
      <c r="A90" s="16" t="s">
        <v>214</v>
      </c>
      <c r="B90" s="1" t="s">
        <v>215</v>
      </c>
      <c r="C90" s="1" t="s">
        <v>217</v>
      </c>
      <c r="D90" s="3" t="s">
        <v>216</v>
      </c>
      <c r="E90" s="34">
        <v>9.5</v>
      </c>
      <c r="F90" s="34">
        <v>9.3000000000000007</v>
      </c>
      <c r="G90" s="34">
        <v>36</v>
      </c>
      <c r="H90" s="34">
        <v>28</v>
      </c>
      <c r="I90" s="34">
        <v>33.5</v>
      </c>
      <c r="J90" s="35">
        <v>0.03</v>
      </c>
    </row>
    <row r="91" spans="1:10" ht="15" thickBot="1" x14ac:dyDescent="0.4">
      <c r="A91" s="16" t="s">
        <v>218</v>
      </c>
      <c r="B91" s="1" t="s">
        <v>219</v>
      </c>
      <c r="C91" s="1" t="s">
        <v>177</v>
      </c>
      <c r="D91" s="3"/>
      <c r="E91" s="34">
        <v>8</v>
      </c>
      <c r="F91" s="34">
        <v>6</v>
      </c>
      <c r="G91" s="34">
        <v>38</v>
      </c>
      <c r="H91" s="34">
        <v>56</v>
      </c>
      <c r="I91" s="34">
        <v>33</v>
      </c>
      <c r="J91" s="35">
        <v>7.0000000000000007E-2</v>
      </c>
    </row>
    <row r="92" spans="1:10" ht="15" thickBot="1" x14ac:dyDescent="0.4">
      <c r="A92" s="16" t="s">
        <v>220</v>
      </c>
      <c r="B92" s="1" t="s">
        <v>221</v>
      </c>
      <c r="C92" s="1" t="s">
        <v>206</v>
      </c>
      <c r="D92" s="3" t="s">
        <v>222</v>
      </c>
      <c r="E92" s="34">
        <v>7</v>
      </c>
      <c r="F92" s="34">
        <v>5</v>
      </c>
      <c r="G92" s="34">
        <v>46.5</v>
      </c>
      <c r="H92" s="34">
        <v>36.5</v>
      </c>
      <c r="I92" s="34">
        <v>55</v>
      </c>
      <c r="J92" s="35">
        <v>0.09</v>
      </c>
    </row>
    <row r="93" spans="1:10" ht="15" thickBot="1" x14ac:dyDescent="0.4">
      <c r="A93" s="16" t="s">
        <v>223</v>
      </c>
      <c r="B93" s="1" t="s">
        <v>104</v>
      </c>
      <c r="C93" s="1"/>
      <c r="D93" s="3" t="s">
        <v>224</v>
      </c>
      <c r="E93" s="34">
        <v>12.75</v>
      </c>
      <c r="F93" s="34">
        <v>11.2</v>
      </c>
      <c r="G93" s="34">
        <v>37.5</v>
      </c>
      <c r="H93" s="34">
        <v>28.2</v>
      </c>
      <c r="I93" s="34">
        <v>34.799999999999997</v>
      </c>
      <c r="J93" s="35">
        <v>3.6999999999999998E-2</v>
      </c>
    </row>
    <row r="94" spans="1:10" ht="15" thickBot="1" x14ac:dyDescent="0.4">
      <c r="A94" s="16" t="s">
        <v>245</v>
      </c>
      <c r="B94" s="1" t="s">
        <v>225</v>
      </c>
      <c r="C94" s="3" t="s">
        <v>226</v>
      </c>
      <c r="D94" s="3" t="s">
        <v>226</v>
      </c>
      <c r="E94" s="34">
        <v>10.3</v>
      </c>
      <c r="F94" s="34">
        <v>9.6</v>
      </c>
      <c r="G94" s="34">
        <v>21.8</v>
      </c>
      <c r="H94" s="34">
        <v>5.6</v>
      </c>
      <c r="I94" s="34">
        <v>14.1</v>
      </c>
      <c r="J94" s="35">
        <v>9.4E-2</v>
      </c>
    </row>
    <row r="95" spans="1:10" ht="15" thickBot="1" x14ac:dyDescent="0.4">
      <c r="A95" s="16" t="s">
        <v>244</v>
      </c>
      <c r="B95" s="1" t="s">
        <v>227</v>
      </c>
      <c r="C95" s="3" t="s">
        <v>226</v>
      </c>
      <c r="D95" s="3" t="s">
        <v>226</v>
      </c>
      <c r="E95" s="34">
        <v>10.3</v>
      </c>
      <c r="F95" s="34">
        <v>9.6</v>
      </c>
      <c r="G95" s="34">
        <v>21.8</v>
      </c>
      <c r="H95" s="34">
        <v>5.6</v>
      </c>
      <c r="I95" s="34">
        <v>14.1</v>
      </c>
      <c r="J95" s="35">
        <v>9.4E-2</v>
      </c>
    </row>
    <row r="96" spans="1:10" ht="15" thickBot="1" x14ac:dyDescent="0.4">
      <c r="A96" s="16" t="s">
        <v>228</v>
      </c>
      <c r="B96" s="1" t="s">
        <v>100</v>
      </c>
      <c r="C96" s="1" t="s">
        <v>177</v>
      </c>
      <c r="D96" s="3" t="s">
        <v>64</v>
      </c>
      <c r="E96" s="34">
        <v>10.72</v>
      </c>
      <c r="F96" s="34">
        <v>9.7200000000000006</v>
      </c>
      <c r="G96" s="34">
        <v>28</v>
      </c>
      <c r="H96" s="34">
        <v>28</v>
      </c>
      <c r="I96" s="34">
        <v>34.5</v>
      </c>
      <c r="J96" s="35">
        <v>0.03</v>
      </c>
    </row>
    <row r="97" spans="1:13" ht="15" thickBot="1" x14ac:dyDescent="0.4">
      <c r="A97" s="16" t="s">
        <v>229</v>
      </c>
      <c r="B97" s="1" t="s">
        <v>19</v>
      </c>
      <c r="C97" s="1" t="s">
        <v>165</v>
      </c>
      <c r="D97" s="3" t="s">
        <v>230</v>
      </c>
      <c r="E97" s="34">
        <v>10.3</v>
      </c>
      <c r="F97" s="34">
        <v>9.6</v>
      </c>
      <c r="G97" s="34">
        <v>49</v>
      </c>
      <c r="H97" s="34">
        <v>27</v>
      </c>
      <c r="I97" s="34">
        <v>45</v>
      </c>
      <c r="J97" s="35">
        <v>0.06</v>
      </c>
    </row>
    <row r="98" spans="1:13" ht="15" thickBot="1" x14ac:dyDescent="0.4">
      <c r="A98" s="16" t="s">
        <v>231</v>
      </c>
      <c r="B98" s="1"/>
      <c r="C98" s="1" t="s">
        <v>164</v>
      </c>
      <c r="D98" s="3"/>
      <c r="E98" s="34">
        <v>15.6</v>
      </c>
      <c r="F98" s="34">
        <v>14.6</v>
      </c>
      <c r="G98" s="34">
        <v>54</v>
      </c>
      <c r="H98" s="34">
        <v>30</v>
      </c>
      <c r="I98" s="34">
        <v>44.5</v>
      </c>
      <c r="J98" s="35">
        <v>7.0000000000000007E-2</v>
      </c>
    </row>
    <row r="99" spans="1:13" ht="15" thickBot="1" x14ac:dyDescent="0.4">
      <c r="A99" s="16" t="s">
        <v>232</v>
      </c>
      <c r="B99" s="1" t="s">
        <v>19</v>
      </c>
      <c r="C99" s="1" t="s">
        <v>165</v>
      </c>
      <c r="D99" s="3" t="s">
        <v>230</v>
      </c>
      <c r="E99" s="34">
        <v>10.3</v>
      </c>
      <c r="F99" s="34">
        <v>9.6</v>
      </c>
      <c r="G99" s="34">
        <v>49</v>
      </c>
      <c r="H99" s="34">
        <v>27</v>
      </c>
      <c r="I99" s="34">
        <v>45</v>
      </c>
      <c r="J99" s="35">
        <v>0.06</v>
      </c>
    </row>
    <row r="100" spans="1:13" ht="15" thickBot="1" x14ac:dyDescent="0.4">
      <c r="A100" s="16" t="s">
        <v>233</v>
      </c>
      <c r="B100" s="1" t="s">
        <v>234</v>
      </c>
      <c r="C100" s="1" t="s">
        <v>165</v>
      </c>
      <c r="D100" s="3" t="s">
        <v>235</v>
      </c>
      <c r="E100" s="34">
        <v>27</v>
      </c>
      <c r="F100" s="34">
        <v>24</v>
      </c>
      <c r="G100" s="34">
        <v>55</v>
      </c>
      <c r="H100" s="34">
        <v>33</v>
      </c>
      <c r="I100" s="34">
        <v>70</v>
      </c>
      <c r="J100" s="35">
        <v>0.13</v>
      </c>
    </row>
    <row r="101" spans="1:13" ht="15" thickBot="1" x14ac:dyDescent="0.4">
      <c r="A101" s="16" t="s">
        <v>236</v>
      </c>
      <c r="B101" s="1" t="s">
        <v>237</v>
      </c>
      <c r="C101" s="1" t="s">
        <v>165</v>
      </c>
      <c r="D101" s="3" t="s">
        <v>238</v>
      </c>
      <c r="E101" s="34"/>
      <c r="F101" s="34"/>
      <c r="G101" s="34">
        <v>50.9</v>
      </c>
      <c r="H101" s="34">
        <v>39.6</v>
      </c>
      <c r="I101" s="34">
        <v>60</v>
      </c>
      <c r="J101" s="35">
        <v>0.12</v>
      </c>
    </row>
    <row r="102" spans="1:13" ht="15" thickBot="1" x14ac:dyDescent="0.4">
      <c r="A102" s="16" t="s">
        <v>239</v>
      </c>
      <c r="B102" s="1" t="s">
        <v>208</v>
      </c>
      <c r="C102" s="1" t="s">
        <v>240</v>
      </c>
      <c r="D102" s="3" t="s">
        <v>241</v>
      </c>
      <c r="E102" s="34">
        <v>30</v>
      </c>
      <c r="F102" s="34">
        <v>28</v>
      </c>
      <c r="G102" s="34">
        <v>48</v>
      </c>
      <c r="H102" s="34">
        <v>51</v>
      </c>
      <c r="I102" s="34">
        <v>45</v>
      </c>
      <c r="J102" s="35">
        <v>0.11</v>
      </c>
    </row>
    <row r="103" spans="1:13" ht="15" thickBot="1" x14ac:dyDescent="0.4">
      <c r="A103" s="16" t="s">
        <v>247</v>
      </c>
      <c r="B103" s="16" t="s">
        <v>246</v>
      </c>
      <c r="C103" s="16" t="s">
        <v>240</v>
      </c>
      <c r="D103" s="16" t="s">
        <v>13</v>
      </c>
      <c r="E103" s="16">
        <v>25</v>
      </c>
      <c r="F103" s="16">
        <v>24</v>
      </c>
      <c r="G103" s="16"/>
      <c r="H103" s="16"/>
      <c r="I103" s="16"/>
      <c r="J103" s="16">
        <v>0.15</v>
      </c>
      <c r="K103" s="16"/>
      <c r="L103" s="16"/>
      <c r="M103" s="16"/>
    </row>
    <row r="104" spans="1:13" ht="15" thickBot="1" x14ac:dyDescent="0.4">
      <c r="A104" s="16" t="s">
        <v>247</v>
      </c>
      <c r="B104" s="16" t="s">
        <v>246</v>
      </c>
      <c r="C104" s="16" t="s">
        <v>240</v>
      </c>
      <c r="D104" s="16" t="s">
        <v>13</v>
      </c>
      <c r="E104" s="16">
        <v>29</v>
      </c>
      <c r="F104" s="16">
        <v>27.5</v>
      </c>
      <c r="G104" s="16"/>
      <c r="H104" s="16"/>
      <c r="I104" s="16"/>
      <c r="J104" s="16">
        <v>0.15</v>
      </c>
      <c r="K104" s="16"/>
      <c r="L104" s="16"/>
      <c r="M104" s="16"/>
    </row>
    <row r="105" spans="1:13" ht="15" thickBot="1" x14ac:dyDescent="0.4">
      <c r="A105" s="16" t="s">
        <v>247</v>
      </c>
      <c r="B105" s="16" t="s">
        <v>249</v>
      </c>
      <c r="C105" s="16" t="s">
        <v>22</v>
      </c>
      <c r="D105" s="16" t="s">
        <v>248</v>
      </c>
      <c r="E105" s="16">
        <v>9.6</v>
      </c>
      <c r="F105" s="16">
        <v>8.8000000000000007</v>
      </c>
      <c r="G105" s="16"/>
      <c r="H105" s="16"/>
      <c r="I105" s="16"/>
      <c r="J105" s="16">
        <v>0.05</v>
      </c>
      <c r="K105" s="16"/>
      <c r="L105" s="16"/>
      <c r="M105" s="16"/>
    </row>
    <row r="106" spans="1:13" ht="15" thickBot="1" x14ac:dyDescent="0.4">
      <c r="A106" s="16" t="s">
        <v>250</v>
      </c>
      <c r="B106" s="16" t="s">
        <v>251</v>
      </c>
      <c r="C106" s="16" t="s">
        <v>22</v>
      </c>
      <c r="D106" s="16" t="s">
        <v>199</v>
      </c>
      <c r="E106" s="16">
        <v>15.7</v>
      </c>
      <c r="F106" s="16">
        <v>14.7</v>
      </c>
      <c r="G106" s="16"/>
      <c r="H106" s="16"/>
      <c r="I106" s="16"/>
      <c r="J106" s="16">
        <v>5.5E-2</v>
      </c>
      <c r="K106" s="16"/>
      <c r="L106" s="16"/>
      <c r="M106" s="16"/>
    </row>
    <row r="107" spans="1:13" ht="15" thickBot="1" x14ac:dyDescent="0.4">
      <c r="A107" s="16" t="s">
        <v>250</v>
      </c>
      <c r="B107" s="16" t="s">
        <v>251</v>
      </c>
      <c r="C107" s="16" t="s">
        <v>22</v>
      </c>
      <c r="D107" s="16" t="s">
        <v>199</v>
      </c>
      <c r="E107" s="16">
        <v>15.7</v>
      </c>
      <c r="F107" s="16">
        <v>14.7</v>
      </c>
      <c r="G107" s="16"/>
      <c r="H107" s="16"/>
      <c r="I107" s="16"/>
      <c r="J107" s="16">
        <v>5.5E-2</v>
      </c>
      <c r="K107" s="16"/>
      <c r="L107" s="16"/>
      <c r="M107" s="16"/>
    </row>
    <row r="108" spans="1:13" ht="15" thickBot="1" x14ac:dyDescent="0.4">
      <c r="A108" s="16" t="s">
        <v>250</v>
      </c>
      <c r="B108" s="16" t="s">
        <v>252</v>
      </c>
      <c r="C108" s="16" t="s">
        <v>177</v>
      </c>
      <c r="D108" s="16" t="s">
        <v>58</v>
      </c>
      <c r="E108" s="16">
        <v>12.55</v>
      </c>
      <c r="F108" s="16">
        <v>11.45</v>
      </c>
      <c r="G108" s="16"/>
      <c r="H108" s="16"/>
      <c r="I108" s="16"/>
      <c r="J108" s="16">
        <v>0.06</v>
      </c>
      <c r="K108" s="16"/>
      <c r="L108" s="16"/>
      <c r="M108" s="16"/>
    </row>
    <row r="109" spans="1:13" ht="15" thickBot="1" x14ac:dyDescent="0.4">
      <c r="A109" s="16" t="s">
        <v>250</v>
      </c>
      <c r="B109" s="16" t="s">
        <v>252</v>
      </c>
      <c r="C109" s="16" t="s">
        <v>177</v>
      </c>
      <c r="D109" s="16" t="s">
        <v>58</v>
      </c>
      <c r="E109" s="16">
        <v>12.55</v>
      </c>
      <c r="F109" s="16">
        <v>11.45</v>
      </c>
      <c r="G109" s="16"/>
      <c r="H109" s="16"/>
      <c r="I109" s="16"/>
      <c r="J109" s="16">
        <v>0.06</v>
      </c>
      <c r="K109" s="16"/>
      <c r="L109" s="16"/>
      <c r="M109" s="16"/>
    </row>
    <row r="110" spans="1:13" ht="15" thickBot="1" x14ac:dyDescent="0.4">
      <c r="A110" s="16" t="s">
        <v>253</v>
      </c>
      <c r="B110" s="16" t="s">
        <v>254</v>
      </c>
      <c r="C110" s="16" t="s">
        <v>256</v>
      </c>
      <c r="D110" s="16" t="s">
        <v>255</v>
      </c>
      <c r="E110" s="16">
        <v>15.2</v>
      </c>
      <c r="F110" s="16">
        <v>14.2</v>
      </c>
      <c r="G110" s="16"/>
      <c r="H110" s="16"/>
      <c r="I110" s="16"/>
      <c r="J110" s="16">
        <v>0.06</v>
      </c>
      <c r="K110" s="16"/>
      <c r="L110" s="16"/>
      <c r="M110" s="16"/>
    </row>
    <row r="111" spans="1:13" ht="15" thickBot="1" x14ac:dyDescent="0.4">
      <c r="A111" s="16" t="s">
        <v>253</v>
      </c>
      <c r="B111" s="16" t="s">
        <v>254</v>
      </c>
      <c r="C111" s="16" t="s">
        <v>240</v>
      </c>
      <c r="D111" s="16" t="s">
        <v>67</v>
      </c>
      <c r="E111" s="16">
        <v>15.2</v>
      </c>
      <c r="F111" s="16">
        <v>14.2</v>
      </c>
      <c r="G111" s="16"/>
      <c r="H111" s="16"/>
      <c r="I111" s="16"/>
      <c r="J111" s="16">
        <v>0.06</v>
      </c>
      <c r="K111" s="16"/>
      <c r="L111" s="16"/>
      <c r="M111" s="16"/>
    </row>
    <row r="112" spans="1:13" ht="15" thickBot="1" x14ac:dyDescent="0.4">
      <c r="A112" s="16" t="s">
        <v>257</v>
      </c>
      <c r="B112" s="16" t="s">
        <v>258</v>
      </c>
      <c r="C112" s="16" t="s">
        <v>185</v>
      </c>
      <c r="D112" s="16" t="s">
        <v>105</v>
      </c>
      <c r="E112" s="16">
        <v>13.2</v>
      </c>
      <c r="F112" s="16">
        <v>12.5</v>
      </c>
      <c r="G112" s="16"/>
      <c r="H112" s="16"/>
      <c r="I112" s="16"/>
      <c r="J112" s="16">
        <v>0.02</v>
      </c>
    </row>
    <row r="113" spans="1:10" ht="15" thickBot="1" x14ac:dyDescent="0.4">
      <c r="A113" s="16" t="s">
        <v>261</v>
      </c>
      <c r="B113" s="16" t="s">
        <v>259</v>
      </c>
      <c r="C113" s="16" t="s">
        <v>264</v>
      </c>
      <c r="D113" s="16" t="s">
        <v>262</v>
      </c>
      <c r="E113" s="16">
        <v>17.600000000000001</v>
      </c>
      <c r="F113" s="16">
        <v>16.600000000000001</v>
      </c>
      <c r="G113" s="16"/>
      <c r="H113" s="16"/>
      <c r="I113" s="16"/>
      <c r="J113" s="16">
        <v>4.1000000000000002E-2</v>
      </c>
    </row>
    <row r="114" spans="1:10" ht="15" thickBot="1" x14ac:dyDescent="0.4">
      <c r="A114" s="16" t="s">
        <v>261</v>
      </c>
      <c r="B114" s="16" t="s">
        <v>260</v>
      </c>
      <c r="C114" s="16" t="s">
        <v>265</v>
      </c>
      <c r="D114" s="16" t="s">
        <v>263</v>
      </c>
      <c r="E114" s="16">
        <v>18.86</v>
      </c>
      <c r="F114" s="16">
        <v>17.239999999999998</v>
      </c>
      <c r="G114" s="16"/>
      <c r="H114" s="16"/>
      <c r="I114" s="16"/>
      <c r="J114" s="16">
        <v>4.1000000000000002E-2</v>
      </c>
    </row>
    <row r="115" spans="1:10" ht="58.5" thickBot="1" x14ac:dyDescent="0.4">
      <c r="A115" s="16" t="s">
        <v>266</v>
      </c>
      <c r="B115" s="16" t="s">
        <v>267</v>
      </c>
      <c r="C115" s="16" t="s">
        <v>177</v>
      </c>
      <c r="D115" s="16" t="s">
        <v>58</v>
      </c>
      <c r="E115" s="16">
        <v>28.5</v>
      </c>
      <c r="F115" s="16">
        <v>27</v>
      </c>
      <c r="G115" s="16"/>
      <c r="H115" s="16"/>
      <c r="I115" s="16"/>
      <c r="J115" s="16">
        <v>0.13500000000000001</v>
      </c>
    </row>
  </sheetData>
  <autoFilter ref="A1:J102" xr:uid="{00000000-0001-0000-0000-000000000000}"/>
  <sortState xmlns:xlrd2="http://schemas.microsoft.com/office/spreadsheetml/2017/richdata2" ref="A2:A77">
    <sortCondition ref="A8:A77"/>
  </sortState>
  <mergeCells count="2">
    <mergeCell ref="B56:B57"/>
    <mergeCell ref="B54:B55"/>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Mind Assets Analytics MAA0001</dc:creator>
  <cp:lastModifiedBy>Mind Assets Analytics MAA0001</cp:lastModifiedBy>
  <dcterms:created xsi:type="dcterms:W3CDTF">2015-06-05T18:17:20Z</dcterms:created>
  <dcterms:modified xsi:type="dcterms:W3CDTF">2026-04-23T06:34:45Z</dcterms:modified>
</cp:coreProperties>
</file>